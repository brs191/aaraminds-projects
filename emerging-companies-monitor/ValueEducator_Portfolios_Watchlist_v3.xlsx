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erging Titans" sheetId="2" state="visible" r:id="rId2"/>
    <sheet xmlns:r="http://schemas.openxmlformats.org/officeDocument/2006/relationships" name="Tiny Titans" sheetId="3" state="visible" r:id="rId3"/>
    <sheet xmlns:r="http://schemas.openxmlformats.org/officeDocument/2006/relationships" name="Watchlist (Combined)" sheetId="4" state="visible" r:id="rId4"/>
    <sheet xmlns:r="http://schemas.openxmlformats.org/officeDocument/2006/relationships" name="Portfolio" sheetId="5" state="visible" r:id="rId5"/>
  </sheets>
  <definedNames>
    <definedName name="_xlnm._FilterDatabase" localSheetId="1" hidden="1">'Emerging Titans'!$A$1:$K$29</definedName>
    <definedName name="_xlnm._FilterDatabase" localSheetId="2" hidden="1">'Tiny Titans'!$A$1:$K$14</definedName>
    <definedName name="_xlnm._FilterDatabase" localSheetId="3" hidden="1">'Watchlist (Combined)'!$A$1:$Q$42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dd\-mmm\-yyyy"/>
    <numFmt numFmtId="165" formatCode="#,##0.0"/>
    <numFmt numFmtId="166" formatCode="0.0%;[RED]\(0.0%\)"/>
    <numFmt numFmtId="167" formatCode="0&quot;/5&quot;"/>
    <numFmt numFmtId="168" formatCode="0.0%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A44"/>
      <sz val="16"/>
    </font>
    <font>
      <name val="Arial"/>
      <charset val="1"/>
      <family val="0"/>
      <i val="1"/>
      <color rgb="FF5B6472"/>
      <sz val="9"/>
    </font>
    <font>
      <name val="Arial"/>
      <charset val="1"/>
      <family val="0"/>
      <b val="1"/>
      <color rgb="FF5B6472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B3261E"/>
      <sz val="9"/>
    </font>
    <font>
      <name val="Arial"/>
      <charset val="1"/>
      <family val="0"/>
      <b val="1"/>
      <color rgb="FFB3261E"/>
      <sz val="10"/>
    </font>
    <font>
      <name val="Arial"/>
      <charset val="1"/>
      <family val="0"/>
      <b val="1"/>
      <color rgb="FF1B7A43"/>
      <sz val="10"/>
    </font>
    <font>
      <name val="Arial"/>
      <charset val="1"/>
      <family val="0"/>
      <b val="1"/>
      <color rgb="FF2E5A87"/>
      <sz val="10"/>
    </font>
    <font>
      <name val="Arial"/>
      <charset val="1"/>
      <family val="0"/>
      <b val="1"/>
      <color rgb="FF7A4FA3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F2A44"/>
      <sz val="10"/>
    </font>
  </fonts>
  <fills count="7">
    <fill>
      <patternFill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AF0F7"/>
        <bgColor rgb="FFDCE6F1"/>
      </patternFill>
    </fill>
    <fill>
      <patternFill patternType="solid">
        <fgColor rgb="FFFFFDE7"/>
        <bgColor rgb="FFFFFFFF"/>
      </patternFill>
    </fill>
    <fill>
      <patternFill patternType="solid">
        <fgColor rgb="FFFFF2A8"/>
        <bgColor rgb="FFFCEFCB"/>
      </patternFill>
    </fill>
    <fill>
      <patternFill patternType="solid">
        <fgColor rgb="FFDCE6F1"/>
        <bgColor rgb="FFD5DBE3"/>
      </patternFill>
    </fill>
  </fills>
  <borders count="2">
    <border>
      <left/>
      <right/>
      <top/>
      <bottom/>
      <diagonal/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center" vertical="bottom"/>
    </xf>
    <xf numFmtId="164" fontId="9" fillId="0" borderId="1" applyAlignment="1" pivotButton="0" quotePrefix="0" xfId="0">
      <alignment horizontal="center" vertical="bottom"/>
    </xf>
    <xf numFmtId="165" fontId="9" fillId="0" borderId="1" applyAlignment="1" pivotButton="0" quotePrefix="0" xfId="0">
      <alignment horizontal="general" vertical="bottom"/>
    </xf>
    <xf numFmtId="9" fontId="9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center" vertical="bottom"/>
    </xf>
    <xf numFmtId="166" fontId="9" fillId="0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general" vertical="bottom"/>
    </xf>
    <xf numFmtId="164" fontId="9" fillId="3" borderId="1" applyAlignment="1" pivotButton="0" quotePrefix="0" xfId="0">
      <alignment horizontal="center" vertical="bottom"/>
    </xf>
    <xf numFmtId="165" fontId="9" fillId="3" borderId="1" applyAlignment="1" pivotButton="0" quotePrefix="0" xfId="0">
      <alignment horizontal="general" vertical="bottom"/>
    </xf>
    <xf numFmtId="9" fontId="9" fillId="3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center" vertical="bottom"/>
    </xf>
    <xf numFmtId="166" fontId="9" fillId="3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center" vertical="bottom"/>
    </xf>
    <xf numFmtId="0" fontId="12" fillId="3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 vertical="bottom"/>
    </xf>
    <xf numFmtId="9" fontId="8" fillId="0" borderId="0" applyAlignment="1" pivotButton="0" quotePrefix="0" xfId="0">
      <alignment horizontal="center" vertical="bottom"/>
    </xf>
    <xf numFmtId="167" fontId="9" fillId="0" borderId="1" applyAlignment="1" pivotButton="0" quotePrefix="0" xfId="0">
      <alignment horizontal="center" vertical="bottom"/>
    </xf>
    <xf numFmtId="167" fontId="9" fillId="3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13" fillId="3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4" fillId="3" borderId="1" applyAlignment="1" pivotButton="0" quotePrefix="0" xfId="0">
      <alignment horizontal="general" vertical="bottom"/>
    </xf>
    <xf numFmtId="9" fontId="15" fillId="5" borderId="1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4" fontId="16" fillId="5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8" fontId="9" fillId="0" borderId="1" applyAlignment="1" pivotButton="0" quotePrefix="0" xfId="0">
      <alignment horizontal="general" vertical="bottom"/>
    </xf>
    <xf numFmtId="3" fontId="9" fillId="3" borderId="1" applyAlignment="1" pivotButton="0" quotePrefix="0" xfId="0">
      <alignment horizontal="general" vertical="bottom"/>
    </xf>
    <xf numFmtId="168" fontId="9" fillId="3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/>
    </xf>
    <xf numFmtId="3" fontId="8" fillId="6" borderId="1" applyAlignment="1" pivotButton="0" quotePrefix="0" xfId="0">
      <alignment horizontal="general" vertical="bottom"/>
    </xf>
    <xf numFmtId="168" fontId="8" fillId="6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center" vertical="bottom"/>
    </xf>
    <xf numFmtId="164" fontId="9" fillId="0" borderId="1" applyAlignment="1" pivotButton="0" quotePrefix="0" xfId="0">
      <alignment horizontal="center" vertical="bottom"/>
    </xf>
    <xf numFmtId="165" fontId="9" fillId="0" borderId="1" applyAlignment="1" pivotButton="0" quotePrefix="0" xfId="0">
      <alignment horizontal="general" vertical="bottom"/>
    </xf>
    <xf numFmtId="9" fontId="9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center" vertical="bottom"/>
    </xf>
    <xf numFmtId="166" fontId="9" fillId="0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general" vertical="bottom"/>
    </xf>
    <xf numFmtId="164" fontId="9" fillId="3" borderId="1" applyAlignment="1" pivotButton="0" quotePrefix="0" xfId="0">
      <alignment horizontal="center" vertical="bottom"/>
    </xf>
    <xf numFmtId="165" fontId="9" fillId="3" borderId="1" applyAlignment="1" pivotButton="0" quotePrefix="0" xfId="0">
      <alignment horizontal="general" vertical="bottom"/>
    </xf>
    <xf numFmtId="9" fontId="9" fillId="3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center" vertical="bottom"/>
    </xf>
    <xf numFmtId="166" fontId="9" fillId="3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center" vertical="bottom"/>
    </xf>
    <xf numFmtId="0" fontId="12" fillId="3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 vertical="bottom"/>
    </xf>
    <xf numFmtId="9" fontId="8" fillId="0" borderId="0" applyAlignment="1" pivotButton="0" quotePrefix="0" xfId="0">
      <alignment horizontal="center" vertical="bottom"/>
    </xf>
    <xf numFmtId="167" fontId="9" fillId="0" borderId="1" applyAlignment="1" pivotButton="0" quotePrefix="0" xfId="0">
      <alignment horizontal="center" vertical="bottom"/>
    </xf>
    <xf numFmtId="167" fontId="9" fillId="3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13" fillId="3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4" fillId="3" borderId="1" applyAlignment="1" pivotButton="0" quotePrefix="0" xfId="0">
      <alignment horizontal="general" vertical="bottom"/>
    </xf>
    <xf numFmtId="9" fontId="15" fillId="5" borderId="1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4" fontId="16" fillId="5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8" fontId="9" fillId="0" borderId="1" applyAlignment="1" pivotButton="0" quotePrefix="0" xfId="0">
      <alignment horizontal="general" vertical="bottom"/>
    </xf>
    <xf numFmtId="3" fontId="9" fillId="3" borderId="1" applyAlignment="1" pivotButton="0" quotePrefix="0" xfId="0">
      <alignment horizontal="general" vertical="bottom"/>
    </xf>
    <xf numFmtId="168" fontId="9" fillId="3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/>
    </xf>
    <xf numFmtId="3" fontId="8" fillId="6" borderId="1" applyAlignment="1" pivotButton="0" quotePrefix="0" xfId="0">
      <alignment horizontal="general" vertical="bottom"/>
    </xf>
    <xf numFmtId="168" fontId="8" fillId="6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AF0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7A43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Arial"/>
        <charset val="1"/>
        <family val="0"/>
        <color rgb="FF1B7A43"/>
        <sz val="10"/>
      </font>
    </dxf>
    <dxf>
      <font>
        <name val="Arial"/>
        <charset val="1"/>
        <family val="0"/>
        <color rgb="FFB3261E"/>
        <sz val="10"/>
      </font>
    </dxf>
    <dxf>
      <fill>
        <patternFill patternType="solid">
          <fgColor rgb="FF2E5A87"/>
          <bgColor rgb="FF000000"/>
        </patternFill>
      </fill>
    </dxf>
    <dxf>
      <fill>
        <patternFill patternType="solid">
          <fgColor rgb="FF7A4FA3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ont>
        <name val="Arial"/>
        <charset val="1"/>
        <family val="0"/>
        <b val="1"/>
        <color rgb="FFB3261E"/>
        <sz val="10"/>
      </font>
      <fill>
        <patternFill>
          <bgColor rgb="FFF8D2D2"/>
        </patternFill>
      </fill>
    </dxf>
    <dxf>
      <fill>
        <patternFill>
          <bgColor rgb="FFFCEFCB"/>
        </patternFill>
      </fill>
    </dxf>
    <dxf>
      <font>
        <name val="Arial"/>
        <charset val="1"/>
        <family val="0"/>
        <b val="1"/>
        <color rgb="FF1B7A43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A43"/>
      <rgbColor rgb="FFC0C0C0"/>
      <rgbColor rgb="FF808080"/>
      <rgbColor rgb="FF9999FF"/>
      <rgbColor rgb="FF7A4FA3"/>
      <rgbColor rgb="FFFFFDE7"/>
      <rgbColor rgb="FFEAF0F7"/>
      <rgbColor rgb="FF660066"/>
      <rgbColor rgb="FFFF8080"/>
      <rgbColor rgb="FF0066CC"/>
      <rgbColor rgb="FFD5DB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FCEFCB"/>
      <rgbColor rgb="FFFFF2A8"/>
      <rgbColor rgb="FF99CCFF"/>
      <rgbColor rgb="FFFF99CC"/>
      <rgbColor rgb="FFCC99FF"/>
      <rgbColor rgb="FFF8D2D2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B3261E"/>
      <rgbColor rgb="FF993366"/>
      <rgbColor rgb="FF2E5A87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43" min="1" max="1"/>
    <col width="66" customWidth="1" style="43" min="2" max="2"/>
    <col width="8" customWidth="1" style="43" min="3" max="3"/>
  </cols>
  <sheetData>
    <row r="1" ht="19.7" customHeight="1" s="44">
      <c r="A1" s="45" t="inlineStr">
        <is>
          <t>ValueEducator - Emerging Titans &amp; Tiny Titans</t>
        </is>
      </c>
    </row>
    <row r="2" ht="15" customHeight="1" s="44">
      <c r="A2" s="46" t="inlineStr">
        <is>
          <t>Watchlist + Portfolio tracker - Source: valueeducator.com - Returns as reported 2 Jun 2026</t>
        </is>
      </c>
    </row>
    <row r="3" ht="15" customHeight="1" s="44">
      <c r="A3" s="47" t="inlineStr">
        <is>
          <t>Live CMP source:</t>
        </is>
      </c>
      <c r="B3" s="46" t="inlineStr">
        <is>
          <t>Power Query 'LivePrices' table (Data &gt; Refresh All). CMP falls back to the 2-Jun snapshot until the query is set up (see PowerQuery_Live_Prices.md).</t>
        </is>
      </c>
    </row>
    <row r="6" ht="15" customHeight="1" s="44">
      <c r="A6" s="48" t="inlineStr">
        <is>
          <t>Sheet</t>
        </is>
      </c>
      <c r="B6" s="48" t="inlineStr">
        <is>
          <t>What it is</t>
        </is>
      </c>
      <c r="C6" s="48" t="n"/>
    </row>
    <row r="7" ht="15" customHeight="1" s="44">
      <c r="A7" s="49" t="inlineStr">
        <is>
          <t>Watchlist (Combined)</t>
        </is>
      </c>
      <c r="B7" s="50" t="inlineStr">
        <is>
          <t>All 41 names + living thesis tracker (status, conviction, last-reviewed, what-breaks-it)</t>
        </is>
      </c>
    </row>
    <row r="8" ht="15" customHeight="1" s="44">
      <c r="A8" s="49" t="inlineStr">
        <is>
          <t>Portfolio</t>
        </is>
      </c>
      <c r="B8" s="50" t="inlineStr">
        <is>
          <t>Enter Qty + Avg Cost for names you hold -&gt; live value, weight, P&amp;L, sector exposure</t>
        </is>
      </c>
    </row>
    <row r="9" ht="15" customHeight="1" s="44">
      <c r="A9" s="49" t="inlineStr">
        <is>
          <t>Emerging Titans / Tiny Titans</t>
        </is>
      </c>
      <c r="B9" s="50" t="inlineStr">
        <is>
          <t>The two source portfolios, faithful snapshot + live CMP</t>
        </is>
      </c>
    </row>
    <row r="10" ht="15" customHeight="1" s="44">
      <c r="C10" s="50" t="inlineStr">
        <is>
          <t xml:space="preserve"> </t>
        </is>
      </c>
    </row>
    <row r="11" ht="15" customHeight="1" s="44">
      <c r="A11" s="48" t="inlineStr">
        <is>
          <t>Tips</t>
        </is>
      </c>
      <c r="B11" s="48" t="n"/>
      <c r="C11" s="48" t="n"/>
    </row>
    <row r="12" ht="15" customHeight="1" s="44">
      <c r="A12" s="49" t="inlineStr">
        <is>
          <t>Stale review</t>
        </is>
      </c>
      <c r="B12" s="50" t="inlineStr">
        <is>
          <t>'Last Reviewed' older than 90 days turns red in the Combined sheet</t>
        </is>
      </c>
    </row>
    <row r="13" ht="15" customHeight="1" s="44">
      <c r="A13" s="49" t="inlineStr">
        <is>
          <t>Concentration</t>
        </is>
      </c>
      <c r="B13" s="50" t="inlineStr">
        <is>
          <t>Portfolio weights over the limits (cells N1/N2) turn red</t>
        </is>
      </c>
    </row>
    <row r="15" ht="43.5" customHeight="1" s="44">
      <c r="A15" s="51" t="inlineStr">
        <is>
          <t>DISCLAIMER: Reproduced from a third-party research service (ValueEducator) for personal tracking. NOT investment advice and not a buy/sell recommendation by the author. Verify every figure against primary sources before acting.</t>
        </is>
      </c>
    </row>
  </sheetData>
  <mergeCells count="1">
    <mergeCell ref="A15:C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3" min="1" max="1"/>
    <col width="34" customWidth="1" style="43" min="2" max="2"/>
    <col width="27" customWidth="1" style="43" min="3" max="3"/>
    <col width="13" customWidth="1" style="43" min="4" max="4"/>
    <col width="15" customWidth="1" style="43" min="5" max="5"/>
    <col width="12" customWidth="1" style="43" min="6" max="6"/>
    <col width="9" customWidth="1" style="43" min="7" max="7"/>
    <col width="12" customWidth="1" style="43" min="8" max="8"/>
    <col width="16" customWidth="1" style="43" min="9" max="9"/>
    <col width="12" customWidth="1" style="43" min="10" max="10"/>
    <col width="40" customWidth="1" style="43" min="11" max="11"/>
  </cols>
  <sheetData>
    <row r="1" ht="23.85" customHeight="1" s="44">
      <c r="A1" s="48" t="inlineStr">
        <is>
          <t>No.</t>
        </is>
      </c>
      <c r="B1" s="48" t="inlineStr">
        <is>
          <t>Stock Name</t>
        </is>
      </c>
      <c r="C1" s="48" t="inlineStr">
        <is>
          <t>Sector</t>
        </is>
      </c>
      <c r="D1" s="48" t="inlineStr">
        <is>
          <t>Date of Rec</t>
        </is>
      </c>
      <c r="E1" s="48" t="inlineStr">
        <is>
          <t>Price at Rec (Rs)</t>
        </is>
      </c>
      <c r="F1" s="48" t="inlineStr">
        <is>
          <t>Allocation</t>
        </is>
      </c>
      <c r="G1" s="48" t="inlineStr">
        <is>
          <t>Action</t>
        </is>
      </c>
      <c r="H1" s="48" t="inlineStr">
        <is>
          <t>CMP (Rs)</t>
        </is>
      </c>
      <c r="I1" s="48" t="inlineStr">
        <is>
          <t>Return % (reported)</t>
        </is>
      </c>
      <c r="J1" s="48" t="inlineStr">
        <is>
          <t>Live P/L %</t>
        </is>
      </c>
      <c r="K1" s="48" t="inlineStr">
        <is>
          <t>Notes</t>
        </is>
      </c>
    </row>
    <row r="2" ht="15" customHeight="1" s="44">
      <c r="A2" s="52" t="n">
        <v>1</v>
      </c>
      <c r="B2" s="50" t="inlineStr">
        <is>
          <t>Techno Electric &amp; Engineering Ltd</t>
        </is>
      </c>
      <c r="C2" s="50" t="inlineStr">
        <is>
          <t>Power</t>
        </is>
      </c>
      <c r="D2" s="53" t="n">
        <v>46169</v>
      </c>
      <c r="E2" s="54" t="n">
        <v>1125</v>
      </c>
      <c r="F2" s="55" t="n">
        <v>0.05</v>
      </c>
      <c r="G2" s="56" t="inlineStr">
        <is>
          <t>Sell</t>
        </is>
      </c>
      <c r="H2" s="54">
        <f>IFERROR(xlookup(B2,liveprices!$a:$a,liveprices!$d:$d),1125)</f>
        <v/>
      </c>
      <c r="I2" s="57" t="n">
        <v>-0.134</v>
      </c>
      <c r="J2" s="57">
        <f>IF(E2=0,"",(H2-E2)/E2)</f>
        <v/>
      </c>
      <c r="K2" s="50" t="inlineStr">
        <is>
          <t>Marked Sell 27 May 2026 (exit); source CMP shown = entry price</t>
        </is>
      </c>
    </row>
    <row r="3" ht="15" customHeight="1" s="44">
      <c r="A3" s="58" t="n">
        <v>2</v>
      </c>
      <c r="B3" s="59" t="inlineStr">
        <is>
          <t>Oswal Pumps Ltd</t>
        </is>
      </c>
      <c r="C3" s="59" t="inlineStr">
        <is>
          <t>Capital Goods</t>
        </is>
      </c>
      <c r="D3" s="60" t="n">
        <v>46169</v>
      </c>
      <c r="E3" s="61" t="n">
        <v>362</v>
      </c>
      <c r="F3" s="62" t="n">
        <v>0.03</v>
      </c>
      <c r="G3" s="63" t="inlineStr">
        <is>
          <t>Sell</t>
        </is>
      </c>
      <c r="H3" s="61">
        <f>IFERROR(xlookup(B3,liveprices!$a:$a,liveprices!$d:$d),362)</f>
        <v/>
      </c>
      <c r="I3" s="64" t="n">
        <v>-0.368</v>
      </c>
      <c r="J3" s="64">
        <f>IF(E3=0,"",(H3-E3)/E3)</f>
        <v/>
      </c>
      <c r="K3" s="59" t="inlineStr">
        <is>
          <t>Marked Sell 27 May 2026 (exit); source CMP shown = entry price</t>
        </is>
      </c>
    </row>
    <row r="4" ht="15" customHeight="1" s="44">
      <c r="A4" s="52" t="n">
        <v>3</v>
      </c>
      <c r="B4" s="50" t="inlineStr">
        <is>
          <t>PNGS Reva Diamond Jewellery Limited</t>
        </is>
      </c>
      <c r="C4" s="50" t="inlineStr">
        <is>
          <t>Jewellery</t>
        </is>
      </c>
      <c r="D4" s="53" t="n">
        <v>46119</v>
      </c>
      <c r="E4" s="54" t="n">
        <v>379</v>
      </c>
      <c r="F4" s="55" t="n">
        <v>0.03</v>
      </c>
      <c r="G4" s="65" t="inlineStr">
        <is>
          <t>Buy</t>
        </is>
      </c>
      <c r="H4" s="54">
        <f>IFERROR(xlookup(B4,liveprices!$a:$a,liveprices!$d:$d),388)</f>
        <v/>
      </c>
      <c r="I4" s="57" t="n">
        <v>0.023</v>
      </c>
      <c r="J4" s="57">
        <f>IF(E4=0,"",(H4-E4)/E4)</f>
        <v/>
      </c>
      <c r="K4" s="50" t="n"/>
    </row>
    <row r="5" ht="15" customHeight="1" s="44">
      <c r="A5" s="58" t="n">
        <v>4</v>
      </c>
      <c r="B5" s="59" t="inlineStr">
        <is>
          <t>HBL Engineering</t>
        </is>
      </c>
      <c r="C5" s="59" t="inlineStr">
        <is>
          <t>Railway</t>
        </is>
      </c>
      <c r="D5" s="60" t="n">
        <v>46083</v>
      </c>
      <c r="E5" s="61" t="n">
        <v>666</v>
      </c>
      <c r="F5" s="62" t="n">
        <v>0.05</v>
      </c>
      <c r="G5" s="66" t="inlineStr">
        <is>
          <t>Buy</t>
        </is>
      </c>
      <c r="H5" s="61">
        <f>IFERROR(xlookup(B5,liveprices!$a:$a,liveprices!$d:$d),822)</f>
        <v/>
      </c>
      <c r="I5" s="64" t="n">
        <v>0.235</v>
      </c>
      <c r="J5" s="64">
        <f>IF(E5=0,"",(H5-E5)/E5)</f>
        <v/>
      </c>
      <c r="K5" s="59" t="n"/>
    </row>
    <row r="6" ht="15" customHeight="1" s="44">
      <c r="A6" s="52" t="n">
        <v>5</v>
      </c>
      <c r="B6" s="50" t="inlineStr">
        <is>
          <t>Centum Electronics Ltd</t>
        </is>
      </c>
      <c r="C6" s="50" t="inlineStr">
        <is>
          <t>Defence &amp; Electronics</t>
        </is>
      </c>
      <c r="D6" s="53" t="n">
        <v>46083</v>
      </c>
      <c r="E6" s="54" t="n">
        <v>2685</v>
      </c>
      <c r="F6" s="55" t="n">
        <v>0.04</v>
      </c>
      <c r="G6" s="65" t="inlineStr">
        <is>
          <t>Buy</t>
        </is>
      </c>
      <c r="H6" s="54">
        <f>IFERROR(xlookup(B6,liveprices!$a:$a,liveprices!$d:$d),2880)</f>
        <v/>
      </c>
      <c r="I6" s="57" t="n">
        <v>0.07199999999999999</v>
      </c>
      <c r="J6" s="57">
        <f>IF(E6=0,"",(H6-E6)/E6)</f>
        <v/>
      </c>
      <c r="K6" s="50" t="n"/>
    </row>
    <row r="7" ht="15" customHeight="1" s="44">
      <c r="A7" s="58" t="n">
        <v>6</v>
      </c>
      <c r="B7" s="59" t="inlineStr">
        <is>
          <t>SJS</t>
        </is>
      </c>
      <c r="C7" s="59" t="inlineStr">
        <is>
          <t>Auto</t>
        </is>
      </c>
      <c r="D7" s="60" t="n">
        <v>46034</v>
      </c>
      <c r="E7" s="61" t="n">
        <v>1635</v>
      </c>
      <c r="F7" s="62" t="n">
        <v>0.03</v>
      </c>
      <c r="G7" s="66" t="inlineStr">
        <is>
          <t>Buy</t>
        </is>
      </c>
      <c r="H7" s="61">
        <f>IFERROR(xlookup(B7,liveprices!$a:$a,liveprices!$d:$d),1698)</f>
        <v/>
      </c>
      <c r="I7" s="64" t="n">
        <v>0.038</v>
      </c>
      <c r="J7" s="64">
        <f>IF(E7=0,"",(H7-E7)/E7)</f>
        <v/>
      </c>
      <c r="K7" s="59" t="n"/>
    </row>
    <row r="8" ht="15" customHeight="1" s="44">
      <c r="A8" s="52" t="n">
        <v>7</v>
      </c>
      <c r="B8" s="50" t="inlineStr">
        <is>
          <t>Narayana Hrudayalaya Ltd</t>
        </is>
      </c>
      <c r="C8" s="50" t="inlineStr">
        <is>
          <t>Hospitals</t>
        </is>
      </c>
      <c r="D8" s="53" t="n">
        <v>46034</v>
      </c>
      <c r="E8" s="54" t="n">
        <v>1862</v>
      </c>
      <c r="F8" s="55" t="n">
        <v>0.03</v>
      </c>
      <c r="G8" s="65" t="inlineStr">
        <is>
          <t>Buy</t>
        </is>
      </c>
      <c r="H8" s="54">
        <f>IFERROR(xlookup(B8,liveprices!$a:$a,liveprices!$d:$d),1799)</f>
        <v/>
      </c>
      <c r="I8" s="57" t="n">
        <v>-0.033</v>
      </c>
      <c r="J8" s="57">
        <f>IF(E8=0,"",(H8-E8)/E8)</f>
        <v/>
      </c>
      <c r="K8" s="50" t="n"/>
    </row>
    <row r="9" ht="15" customHeight="1" s="44">
      <c r="A9" s="58" t="n">
        <v>8</v>
      </c>
      <c r="B9" s="59" t="inlineStr">
        <is>
          <t>Force Motors</t>
        </is>
      </c>
      <c r="C9" s="59" t="inlineStr">
        <is>
          <t>Auto</t>
        </is>
      </c>
      <c r="D9" s="60" t="n">
        <v>46034</v>
      </c>
      <c r="E9" s="61" t="n">
        <v>19000</v>
      </c>
      <c r="F9" s="62" t="n">
        <v>0.03</v>
      </c>
      <c r="G9" s="66" t="inlineStr">
        <is>
          <t>Buy</t>
        </is>
      </c>
      <c r="H9" s="61">
        <f>IFERROR(xlookup(B9,liveprices!$a:$a,liveprices!$d:$d),20913)</f>
        <v/>
      </c>
      <c r="I9" s="64" t="n">
        <v>0.1</v>
      </c>
      <c r="J9" s="64">
        <f>IF(E9=0,"",(H9-E9)/E9)</f>
        <v/>
      </c>
      <c r="K9" s="59" t="n"/>
    </row>
    <row r="10" ht="15" customHeight="1" s="44">
      <c r="A10" s="52" t="n">
        <v>9</v>
      </c>
      <c r="B10" s="50" t="inlineStr">
        <is>
          <t>Samhi Hotels</t>
        </is>
      </c>
      <c r="C10" s="50" t="inlineStr">
        <is>
          <t>Hotels</t>
        </is>
      </c>
      <c r="D10" s="53" t="n">
        <v>46034</v>
      </c>
      <c r="E10" s="54" t="n">
        <v>189.5</v>
      </c>
      <c r="F10" s="55" t="n">
        <v>0.02</v>
      </c>
      <c r="G10" s="65" t="inlineStr">
        <is>
          <t>Buy</t>
        </is>
      </c>
      <c r="H10" s="54">
        <f>IFERROR(xlookup(B10,liveprices!$a:$a,liveprices!$d:$d),163.2)</f>
        <v/>
      </c>
      <c r="I10" s="57" t="n">
        <v>-0.138</v>
      </c>
      <c r="J10" s="57">
        <f>IF(E10=0,"",(H10-E10)/E10)</f>
        <v/>
      </c>
      <c r="K10" s="50" t="n"/>
    </row>
    <row r="11" ht="15" customHeight="1" s="44">
      <c r="A11" s="58" t="n">
        <v>10</v>
      </c>
      <c r="B11" s="59" t="inlineStr">
        <is>
          <t>Gravita India Limited</t>
        </is>
      </c>
      <c r="C11" s="59" t="inlineStr">
        <is>
          <t>Recycling</t>
        </is>
      </c>
      <c r="D11" s="60" t="n">
        <v>46030</v>
      </c>
      <c r="E11" s="61" t="n">
        <v>1736</v>
      </c>
      <c r="F11" s="62" t="n">
        <v>0.03</v>
      </c>
      <c r="G11" s="66" t="inlineStr">
        <is>
          <t>Buy</t>
        </is>
      </c>
      <c r="H11" s="61">
        <f>IFERROR(xlookup(B11,liveprices!$a:$a,liveprices!$d:$d),1589)</f>
        <v/>
      </c>
      <c r="I11" s="64" t="n">
        <v>-0.08400000000000001</v>
      </c>
      <c r="J11" s="64">
        <f>IF(E11=0,"",(H11-E11)/E11)</f>
        <v/>
      </c>
      <c r="K11" s="59" t="n"/>
    </row>
    <row r="12" ht="15" customHeight="1" s="44">
      <c r="A12" s="52" t="n">
        <v>11</v>
      </c>
      <c r="B12" s="50" t="inlineStr">
        <is>
          <t>Timex Group</t>
        </is>
      </c>
      <c r="C12" s="50" t="inlineStr">
        <is>
          <t>Watches</t>
        </is>
      </c>
      <c r="D12" s="53" t="n">
        <v>46030</v>
      </c>
      <c r="E12" s="54" t="n">
        <v>335</v>
      </c>
      <c r="F12" s="55" t="n">
        <v>0.03</v>
      </c>
      <c r="G12" s="65" t="inlineStr">
        <is>
          <t>Buy</t>
        </is>
      </c>
      <c r="H12" s="54">
        <f>IFERROR(xlookup(B12,liveprices!$a:$a,liveprices!$d:$d),336)</f>
        <v/>
      </c>
      <c r="I12" s="57" t="n">
        <v>0</v>
      </c>
      <c r="J12" s="57">
        <f>IF(E12=0,"",(H12-E12)/E12)</f>
        <v/>
      </c>
      <c r="K12" s="50" t="n"/>
    </row>
    <row r="13" ht="15" customHeight="1" s="44">
      <c r="A13" s="58" t="n">
        <v>12</v>
      </c>
      <c r="B13" s="59" t="inlineStr">
        <is>
          <t>Federal bank financial services</t>
        </is>
      </c>
      <c r="C13" s="59" t="inlineStr">
        <is>
          <t>NBFC</t>
        </is>
      </c>
      <c r="D13" s="60" t="n">
        <v>46030</v>
      </c>
      <c r="E13" s="61" t="n">
        <v>159</v>
      </c>
      <c r="F13" s="62" t="n">
        <v>0.03</v>
      </c>
      <c r="G13" s="66" t="inlineStr">
        <is>
          <t>Buy</t>
        </is>
      </c>
      <c r="H13" s="61">
        <f>IFERROR(xlookup(B13,liveprices!$a:$a,liveprices!$d:$d),151)</f>
        <v/>
      </c>
      <c r="I13" s="64" t="n">
        <v>-0.04</v>
      </c>
      <c r="J13" s="64">
        <f>IF(E13=0,"",(H13-E13)/E13)</f>
        <v/>
      </c>
      <c r="K13" s="59" t="n"/>
    </row>
    <row r="14" ht="15" customHeight="1" s="44">
      <c r="A14" s="52" t="n">
        <v>13</v>
      </c>
      <c r="B14" s="50" t="inlineStr">
        <is>
          <t>Praveg Ltd</t>
        </is>
      </c>
      <c r="C14" s="50" t="inlineStr">
        <is>
          <t>Hospitality</t>
        </is>
      </c>
      <c r="D14" s="53" t="n">
        <v>46021</v>
      </c>
      <c r="E14" s="54" t="n">
        <v>315</v>
      </c>
      <c r="F14" s="55" t="n">
        <v>0.03</v>
      </c>
      <c r="G14" s="65" t="inlineStr">
        <is>
          <t>Buy</t>
        </is>
      </c>
      <c r="H14" s="54">
        <f>IFERROR(xlookup(B14,liveprices!$a:$a,liveprices!$d:$d),260)</f>
        <v/>
      </c>
      <c r="I14" s="57" t="n">
        <v>-0.17</v>
      </c>
      <c r="J14" s="57">
        <f>IF(E14=0,"",(H14-E14)/E14)</f>
        <v/>
      </c>
      <c r="K14" s="50" t="n"/>
    </row>
    <row r="15" ht="15" customHeight="1" s="44">
      <c r="A15" s="58" t="n">
        <v>14</v>
      </c>
      <c r="B15" s="59" t="inlineStr">
        <is>
          <t>Navkar Corporation Ltd</t>
        </is>
      </c>
      <c r="C15" s="59" t="inlineStr">
        <is>
          <t>Logistics Services</t>
        </is>
      </c>
      <c r="D15" s="60" t="n">
        <v>45986</v>
      </c>
      <c r="E15" s="61" t="n">
        <v>96.40000000000001</v>
      </c>
      <c r="F15" s="62" t="n">
        <v>0.03</v>
      </c>
      <c r="G15" s="66" t="inlineStr">
        <is>
          <t>Buy</t>
        </is>
      </c>
      <c r="H15" s="61">
        <f>IFERROR(xlookup(B15,liveprices!$a:$a,liveprices!$d:$d),106)</f>
        <v/>
      </c>
      <c r="I15" s="64" t="n">
        <v>0.1</v>
      </c>
      <c r="J15" s="64">
        <f>IF(E15=0,"",(H15-E15)/E15)</f>
        <v/>
      </c>
      <c r="K15" s="59" t="n"/>
    </row>
    <row r="16" ht="15" customHeight="1" s="44">
      <c r="A16" s="52" t="n">
        <v>15</v>
      </c>
      <c r="B16" s="50" t="inlineStr">
        <is>
          <t>Indo Tech Transformers Ltd</t>
        </is>
      </c>
      <c r="C16" s="50" t="inlineStr">
        <is>
          <t>Power</t>
        </is>
      </c>
      <c r="D16" s="53" t="n">
        <v>45923</v>
      </c>
      <c r="E16" s="54" t="n">
        <v>1759</v>
      </c>
      <c r="F16" s="55" t="n">
        <v>0.03</v>
      </c>
      <c r="G16" s="65" t="inlineStr">
        <is>
          <t>Buy</t>
        </is>
      </c>
      <c r="H16" s="54">
        <f>IFERROR(xlookup(B16,liveprices!$a:$a,liveprices!$d:$d),2406)</f>
        <v/>
      </c>
      <c r="I16" s="57" t="n">
        <v>0.37</v>
      </c>
      <c r="J16" s="57">
        <f>IF(E16=0,"",(H16-E16)/E16)</f>
        <v/>
      </c>
      <c r="K16" s="50" t="n"/>
    </row>
    <row r="17" ht="15" customHeight="1" s="44">
      <c r="A17" s="58" t="n">
        <v>16</v>
      </c>
      <c r="B17" s="59" t="inlineStr">
        <is>
          <t>Arkade Developers Ltd</t>
        </is>
      </c>
      <c r="C17" s="59" t="inlineStr">
        <is>
          <t>Infrastructure &amp; Real Estate</t>
        </is>
      </c>
      <c r="D17" s="60" t="n">
        <v>45911</v>
      </c>
      <c r="E17" s="61" t="n">
        <v>179</v>
      </c>
      <c r="F17" s="62" t="n">
        <v>0.03</v>
      </c>
      <c r="G17" s="66" t="inlineStr">
        <is>
          <t>Buy</t>
        </is>
      </c>
      <c r="H17" s="61">
        <f>IFERROR(xlookup(B17,liveprices!$a:$a,liveprices!$d:$d),115)</f>
        <v/>
      </c>
      <c r="I17" s="64" t="n">
        <v>-0.35</v>
      </c>
      <c r="J17" s="64">
        <f>IF(E17=0,"",(H17-E17)/E17)</f>
        <v/>
      </c>
      <c r="K17" s="59" t="n"/>
    </row>
    <row r="18" ht="15" customHeight="1" s="44">
      <c r="A18" s="52" t="n">
        <v>17</v>
      </c>
      <c r="B18" s="50" t="inlineStr">
        <is>
          <t>Sambhv Steel Tubes Ltd</t>
        </is>
      </c>
      <c r="C18" s="50" t="inlineStr">
        <is>
          <t>Ferrous &amp; Non Ferrous Metals</t>
        </is>
      </c>
      <c r="D18" s="53" t="n">
        <v>45911</v>
      </c>
      <c r="E18" s="54" t="n">
        <v>114.5</v>
      </c>
      <c r="F18" s="55" t="n">
        <v>0.05</v>
      </c>
      <c r="G18" s="65" t="inlineStr">
        <is>
          <t>Buy</t>
        </is>
      </c>
      <c r="H18" s="54">
        <f>IFERROR(xlookup(B18,liveprices!$a:$a,liveprices!$d:$d),120)</f>
        <v/>
      </c>
      <c r="I18" s="57" t="n">
        <v>0.048</v>
      </c>
      <c r="J18" s="57">
        <f>IF(E18=0,"",(H18-E18)/E18)</f>
        <v/>
      </c>
      <c r="K18" s="50" t="n"/>
    </row>
    <row r="19" ht="15" customHeight="1" s="44">
      <c r="A19" s="58" t="n">
        <v>18</v>
      </c>
      <c r="B19" s="59" t="inlineStr">
        <is>
          <t>India Shelter Finance</t>
        </is>
      </c>
      <c r="C19" s="59" t="inlineStr">
        <is>
          <t>Finance</t>
        </is>
      </c>
      <c r="D19" s="60" t="n">
        <v>45821</v>
      </c>
      <c r="E19" s="61" t="n">
        <v>889</v>
      </c>
      <c r="F19" s="62" t="n">
        <v>0.05</v>
      </c>
      <c r="G19" s="66" t="inlineStr">
        <is>
          <t>Buy</t>
        </is>
      </c>
      <c r="H19" s="61">
        <f>IFERROR(xlookup(B19,liveprices!$a:$a,liveprices!$d:$d),805)</f>
        <v/>
      </c>
      <c r="I19" s="64" t="n">
        <v>-0.09</v>
      </c>
      <c r="J19" s="64">
        <f>IF(E19=0,"",(H19-E19)/E19)</f>
        <v/>
      </c>
      <c r="K19" s="59" t="n"/>
    </row>
    <row r="20" ht="15" customHeight="1" s="44">
      <c r="A20" s="52" t="n">
        <v>19</v>
      </c>
      <c r="B20" s="50" t="inlineStr">
        <is>
          <t>Kilburn Engineering</t>
        </is>
      </c>
      <c r="C20" s="50" t="inlineStr">
        <is>
          <t>Engineering</t>
        </is>
      </c>
      <c r="D20" s="53" t="n">
        <v>45800</v>
      </c>
      <c r="E20" s="54" t="n">
        <v>454</v>
      </c>
      <c r="F20" s="55" t="n">
        <v>0.05</v>
      </c>
      <c r="G20" s="65" t="inlineStr">
        <is>
          <t>Buy</t>
        </is>
      </c>
      <c r="H20" s="54">
        <f>IFERROR(xlookup(B20,liveprices!$a:$a,liveprices!$d:$d),525)</f>
        <v/>
      </c>
      <c r="I20" s="57" t="n">
        <v>0.156</v>
      </c>
      <c r="J20" s="57">
        <f>IF(E20=0,"",(H20-E20)/E20)</f>
        <v/>
      </c>
      <c r="K20" s="50" t="n"/>
    </row>
    <row r="21" ht="15" customHeight="1" s="44">
      <c r="A21" s="58" t="n">
        <v>20</v>
      </c>
      <c r="B21" s="59" t="inlineStr">
        <is>
          <t>PSP Projects</t>
        </is>
      </c>
      <c r="C21" s="59" t="inlineStr">
        <is>
          <t>Infrastructure &amp; Real Estate</t>
        </is>
      </c>
      <c r="D21" s="60" t="n">
        <v>45776</v>
      </c>
      <c r="E21" s="61" t="n">
        <v>637</v>
      </c>
      <c r="F21" s="62" t="n">
        <v>0.03</v>
      </c>
      <c r="G21" s="66" t="inlineStr">
        <is>
          <t>Buy</t>
        </is>
      </c>
      <c r="H21" s="61">
        <f>IFERROR(xlookup(B21,liveprices!$a:$a,liveprices!$d:$d),735)</f>
        <v/>
      </c>
      <c r="I21" s="64" t="n">
        <v>0.16</v>
      </c>
      <c r="J21" s="64">
        <f>IF(E21=0,"",(H21-E21)/E21)</f>
        <v/>
      </c>
      <c r="K21" s="59" t="n"/>
    </row>
    <row r="22" ht="15" customHeight="1" s="44">
      <c r="A22" s="52" t="n">
        <v>21</v>
      </c>
      <c r="B22" s="50" t="inlineStr">
        <is>
          <t>Frontier Spring</t>
        </is>
      </c>
      <c r="C22" s="50" t="inlineStr">
        <is>
          <t>Railway</t>
        </is>
      </c>
      <c r="D22" s="53" t="n">
        <v>45770</v>
      </c>
      <c r="E22" s="54" t="n">
        <v>761</v>
      </c>
      <c r="F22" s="55" t="n">
        <v>0.03</v>
      </c>
      <c r="G22" s="65" t="inlineStr">
        <is>
          <t>Buy</t>
        </is>
      </c>
      <c r="H22" s="54">
        <f>IFERROR(xlookup(B22,liveprices!$a:$a,liveprices!$d:$d),1492)</f>
        <v/>
      </c>
      <c r="I22" s="57" t="n">
        <v>0.96</v>
      </c>
      <c r="J22" s="57">
        <f>IF(E22=0,"",(H22-E22)/E22)</f>
        <v/>
      </c>
      <c r="K22" s="50" t="n"/>
    </row>
    <row r="23" ht="15" customHeight="1" s="44">
      <c r="A23" s="58" t="n">
        <v>22</v>
      </c>
      <c r="B23" s="59" t="inlineStr">
        <is>
          <t>CCL Products (India) Ltd</t>
        </is>
      </c>
      <c r="C23" s="59" t="inlineStr">
        <is>
          <t>FMCG</t>
        </is>
      </c>
      <c r="D23" s="60" t="n">
        <v>45736</v>
      </c>
      <c r="E23" s="61" t="n">
        <v>554</v>
      </c>
      <c r="F23" s="62" t="n">
        <v>0.03</v>
      </c>
      <c r="G23" s="66" t="inlineStr">
        <is>
          <t>Buy</t>
        </is>
      </c>
      <c r="H23" s="61">
        <f>IFERROR(xlookup(B23,liveprices!$a:$a,liveprices!$d:$d),1112)</f>
        <v/>
      </c>
      <c r="I23" s="64" t="n">
        <v>1</v>
      </c>
      <c r="J23" s="64">
        <f>IF(E23=0,"",(H23-E23)/E23)</f>
        <v/>
      </c>
      <c r="K23" s="59" t="n"/>
    </row>
    <row r="24" ht="15" customHeight="1" s="44">
      <c r="A24" s="52" t="n">
        <v>23</v>
      </c>
      <c r="B24" s="50" t="inlineStr">
        <is>
          <t>Tara Chand Infra Solution</t>
        </is>
      </c>
      <c r="C24" s="50" t="inlineStr">
        <is>
          <t>Infrastructure &amp; Real Estate</t>
        </is>
      </c>
      <c r="D24" s="53" t="n">
        <v>45736</v>
      </c>
      <c r="E24" s="54" t="n">
        <v>58.3</v>
      </c>
      <c r="F24" s="55" t="n">
        <v>0.05</v>
      </c>
      <c r="G24" s="65" t="inlineStr">
        <is>
          <t>Buy</t>
        </is>
      </c>
      <c r="H24" s="54">
        <f>IFERROR(xlookup(B24,liveprices!$a:$a,liveprices!$d:$d),65.8)</f>
        <v/>
      </c>
      <c r="I24" s="57" t="n">
        <v>0.128</v>
      </c>
      <c r="J24" s="57">
        <f>IF(E24=0,"",(H24-E24)/E24)</f>
        <v/>
      </c>
      <c r="K24" s="50" t="n"/>
    </row>
    <row r="25" ht="15" customHeight="1" s="44">
      <c r="A25" s="58" t="n">
        <v>24</v>
      </c>
      <c r="B25" s="59" t="inlineStr">
        <is>
          <t>Mac Power CNC Machines Ltd</t>
        </is>
      </c>
      <c r="C25" s="59" t="inlineStr">
        <is>
          <t>Engineering</t>
        </is>
      </c>
      <c r="D25" s="60" t="n">
        <v>45727</v>
      </c>
      <c r="E25" s="61" t="n">
        <v>689</v>
      </c>
      <c r="F25" s="62" t="n">
        <v>0.03</v>
      </c>
      <c r="G25" s="66" t="inlineStr">
        <is>
          <t>Buy</t>
        </is>
      </c>
      <c r="H25" s="61">
        <f>IFERROR(xlookup(B25,liveprices!$a:$a,liveprices!$d:$d),1148)</f>
        <v/>
      </c>
      <c r="I25" s="64" t="n">
        <v>0.667</v>
      </c>
      <c r="J25" s="64">
        <f>IF(E25=0,"",(H25-E25)/E25)</f>
        <v/>
      </c>
      <c r="K25" s="59" t="n"/>
    </row>
    <row r="26" ht="15" customHeight="1" s="44">
      <c r="A26" s="52" t="n">
        <v>25</v>
      </c>
      <c r="B26" s="50" t="inlineStr">
        <is>
          <t>Paushak Ltd</t>
        </is>
      </c>
      <c r="C26" s="50" t="inlineStr">
        <is>
          <t>Chemical</t>
        </is>
      </c>
      <c r="D26" s="53" t="n">
        <v>45727</v>
      </c>
      <c r="E26" s="54" t="n">
        <v>521</v>
      </c>
      <c r="F26" s="55" t="n">
        <v>0.03</v>
      </c>
      <c r="G26" s="65" t="inlineStr">
        <is>
          <t>Buy</t>
        </is>
      </c>
      <c r="H26" s="54">
        <f>IFERROR(xlookup(B26,liveprices!$a:$a,liveprices!$d:$d),481)</f>
        <v/>
      </c>
      <c r="I26" s="57" t="n">
        <v>-0.076</v>
      </c>
      <c r="J26" s="57">
        <f>IF(E26=0,"",(H26-E26)/E26)</f>
        <v/>
      </c>
      <c r="K26" s="50" t="n"/>
    </row>
    <row r="27" ht="15" customHeight="1" s="44">
      <c r="A27" s="58" t="n">
        <v>26</v>
      </c>
      <c r="B27" s="59" t="inlineStr">
        <is>
          <t>P N Gadgil Jewellers Ltd</t>
        </is>
      </c>
      <c r="C27" s="59" t="inlineStr">
        <is>
          <t>Diamond, Gems and Jewelry</t>
        </is>
      </c>
      <c r="D27" s="60" t="n">
        <v>45726</v>
      </c>
      <c r="E27" s="61" t="n">
        <v>543.6</v>
      </c>
      <c r="F27" s="62" t="n">
        <v>0.05</v>
      </c>
      <c r="G27" s="66" t="inlineStr">
        <is>
          <t>Buy</t>
        </is>
      </c>
      <c r="H27" s="61">
        <f>IFERROR(xlookup(B27,liveprices!$a:$a,liveprices!$d:$d),670)</f>
        <v/>
      </c>
      <c r="I27" s="64" t="n">
        <v>0.232</v>
      </c>
      <c r="J27" s="64">
        <f>IF(E27=0,"",(H27-E27)/E27)</f>
        <v/>
      </c>
      <c r="K27" s="59" t="n"/>
    </row>
    <row r="28" ht="15" customHeight="1" s="44">
      <c r="A28" s="52" t="n">
        <v>27</v>
      </c>
      <c r="B28" s="50" t="inlineStr">
        <is>
          <t>Shivalik Bi Metals Ltd</t>
        </is>
      </c>
      <c r="C28" s="50" t="inlineStr">
        <is>
          <t>Ferrous &amp; Non Ferrous Metals</t>
        </is>
      </c>
      <c r="D28" s="53" t="n">
        <v>45726</v>
      </c>
      <c r="E28" s="54" t="n">
        <v>474</v>
      </c>
      <c r="F28" s="55" t="n">
        <v>0.03</v>
      </c>
      <c r="G28" s="65" t="inlineStr">
        <is>
          <t>Buy</t>
        </is>
      </c>
      <c r="H28" s="54">
        <f>IFERROR(xlookup(B28,liveprices!$a:$a,liveprices!$d:$d),530)</f>
        <v/>
      </c>
      <c r="I28" s="57" t="n">
        <v>0.122</v>
      </c>
      <c r="J28" s="57">
        <f>IF(E28=0,"",(H28-E28)/E28)</f>
        <v/>
      </c>
      <c r="K28" s="50" t="n"/>
    </row>
    <row r="29" ht="15" customHeight="1" s="44">
      <c r="A29" s="58" t="n">
        <v>28</v>
      </c>
      <c r="B29" s="59" t="inlineStr">
        <is>
          <t>S G Finserve Ltd</t>
        </is>
      </c>
      <c r="C29" s="59" t="inlineStr">
        <is>
          <t>Finance</t>
        </is>
      </c>
      <c r="D29" s="60" t="n">
        <v>45726</v>
      </c>
      <c r="E29" s="61" t="n">
        <v>343</v>
      </c>
      <c r="F29" s="62" t="n">
        <v>0.05</v>
      </c>
      <c r="G29" s="66" t="inlineStr">
        <is>
          <t>Buy</t>
        </is>
      </c>
      <c r="H29" s="61">
        <f>IFERROR(xlookup(B29,liveprices!$a:$a,liveprices!$d:$d),547)</f>
        <v/>
      </c>
      <c r="I29" s="64" t="n">
        <v>0.59</v>
      </c>
      <c r="J29" s="64">
        <f>IF(E29=0,"",(H29-E29)/E29)</f>
        <v/>
      </c>
      <c r="K29" s="59" t="n"/>
    </row>
    <row r="30" ht="15" customHeight="1" s="44">
      <c r="E30" s="67" t="inlineStr">
        <is>
          <t>Total allocation listed -&gt;</t>
        </is>
      </c>
      <c r="F30" s="68">
        <f>SUM(F2:F29)</f>
        <v/>
      </c>
    </row>
  </sheetData>
  <autoFilter ref="A1:K29"/>
  <conditionalFormatting sqref="I2:I29">
    <cfRule type="cellIs" rank="0" priority="2" equalAverage="0" operator="greaterThan" aboveAverage="0" dxfId="6" text="" percent="0" bottom="0">
      <formula>0</formula>
    </cfRule>
    <cfRule type="cellIs" rank="0" priority="3" equalAverage="0" operator="lessThan" aboveAverage="0" dxfId="7" text="" percent="0" bottom="0">
      <formula>0</formula>
    </cfRule>
  </conditionalFormatting>
  <conditionalFormatting sqref="J2:J29">
    <cfRule type="cellIs" rank="0" priority="4" equalAverage="0" operator="greaterThan" aboveAverage="0" dxfId="6" text="" percent="0" bottom="0">
      <formula>0</formula>
    </cfRule>
    <cfRule type="cellIs" rank="0" priority="5" equalAverage="0" operator="lessThan" aboveAverage="0" dxfId="7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3" min="1" max="1"/>
    <col width="34" customWidth="1" style="43" min="2" max="2"/>
    <col width="27" customWidth="1" style="43" min="3" max="3"/>
    <col width="13" customWidth="1" style="43" min="4" max="4"/>
    <col width="15" customWidth="1" style="43" min="5" max="5"/>
    <col width="12" customWidth="1" style="43" min="6" max="6"/>
    <col width="9" customWidth="1" style="43" min="7" max="7"/>
    <col width="12" customWidth="1" style="43" min="8" max="8"/>
    <col width="16" customWidth="1" style="43" min="9" max="9"/>
    <col width="12" customWidth="1" style="43" min="10" max="10"/>
    <col width="40" customWidth="1" style="43" min="11" max="11"/>
  </cols>
  <sheetData>
    <row r="1" ht="23.85" customHeight="1" s="44">
      <c r="A1" s="48" t="inlineStr">
        <is>
          <t>No.</t>
        </is>
      </c>
      <c r="B1" s="48" t="inlineStr">
        <is>
          <t>Stock Name</t>
        </is>
      </c>
      <c r="C1" s="48" t="inlineStr">
        <is>
          <t>Sector</t>
        </is>
      </c>
      <c r="D1" s="48" t="inlineStr">
        <is>
          <t>Date of Rec</t>
        </is>
      </c>
      <c r="E1" s="48" t="inlineStr">
        <is>
          <t>Price at Rec (Rs)</t>
        </is>
      </c>
      <c r="F1" s="48" t="inlineStr">
        <is>
          <t>Rating</t>
        </is>
      </c>
      <c r="G1" s="48" t="inlineStr">
        <is>
          <t>Action</t>
        </is>
      </c>
      <c r="H1" s="48" t="inlineStr">
        <is>
          <t>CMP (Rs)</t>
        </is>
      </c>
      <c r="I1" s="48" t="inlineStr">
        <is>
          <t>Return % (reported)</t>
        </is>
      </c>
      <c r="J1" s="48" t="inlineStr">
        <is>
          <t>Live P/L %</t>
        </is>
      </c>
      <c r="K1" s="48" t="inlineStr">
        <is>
          <t>Notes</t>
        </is>
      </c>
    </row>
    <row r="2" ht="15" customHeight="1" s="44">
      <c r="A2" s="52" t="n">
        <v>1</v>
      </c>
      <c r="B2" s="50" t="inlineStr">
        <is>
          <t>Maiden Forging</t>
        </is>
      </c>
      <c r="C2" s="50" t="inlineStr">
        <is>
          <t>Forging</t>
        </is>
      </c>
      <c r="D2" s="53" t="n">
        <v>46120</v>
      </c>
      <c r="E2" s="54" t="n">
        <v>74.5</v>
      </c>
      <c r="F2" s="69" t="n">
        <v>3</v>
      </c>
      <c r="G2" s="65" t="inlineStr">
        <is>
          <t>Buy</t>
        </is>
      </c>
      <c r="H2" s="54">
        <f>IFERROR(xlookup(B2,liveprices!$a:$a,liveprices!$d:$d),86)</f>
        <v/>
      </c>
      <c r="I2" s="57" t="n">
        <v>0.154</v>
      </c>
      <c r="J2" s="57">
        <f>IF(E2=0,"",(H2-E2)/E2)</f>
        <v/>
      </c>
      <c r="K2" s="50" t="n"/>
    </row>
    <row r="3" ht="15" customHeight="1" s="44">
      <c r="A3" s="58" t="n">
        <v>2</v>
      </c>
      <c r="B3" s="59" t="inlineStr">
        <is>
          <t>PNGS Gargi Fashion Jewellery Ltd</t>
        </is>
      </c>
      <c r="C3" s="59" t="inlineStr">
        <is>
          <t>Jewellery</t>
        </is>
      </c>
      <c r="D3" s="60" t="n">
        <v>46043</v>
      </c>
      <c r="E3" s="61" t="n">
        <v>968</v>
      </c>
      <c r="F3" s="70" t="n">
        <v>4</v>
      </c>
      <c r="G3" s="66" t="inlineStr">
        <is>
          <t>Buy</t>
        </is>
      </c>
      <c r="H3" s="61">
        <f>IFERROR(xlookup(B3,liveprices!$a:$a,liveprices!$d:$d),863)</f>
        <v/>
      </c>
      <c r="I3" s="64" t="n">
        <v>-0.108</v>
      </c>
      <c r="J3" s="64">
        <f>IF(E3=0,"",(H3-E3)/E3)</f>
        <v/>
      </c>
      <c r="K3" s="59" t="n"/>
    </row>
    <row r="4" ht="15" customHeight="1" s="44">
      <c r="A4" s="52" t="n">
        <v>3</v>
      </c>
      <c r="B4" s="50" t="inlineStr">
        <is>
          <t>Patil Automation Ltd</t>
        </is>
      </c>
      <c r="C4" s="50" t="inlineStr">
        <is>
          <t>Automation</t>
        </is>
      </c>
      <c r="D4" s="53" t="n">
        <v>46038</v>
      </c>
      <c r="E4" s="54" t="n">
        <v>162</v>
      </c>
      <c r="F4" s="69" t="n">
        <v>3</v>
      </c>
      <c r="G4" s="65" t="inlineStr">
        <is>
          <t>Buy</t>
        </is>
      </c>
      <c r="H4" s="54">
        <f>IFERROR(xlookup(B4,liveprices!$a:$a,liveprices!$d:$d),156)</f>
        <v/>
      </c>
      <c r="I4" s="57" t="n">
        <v>-0.037</v>
      </c>
      <c r="J4" s="57">
        <f>IF(E4=0,"",(H4-E4)/E4)</f>
        <v/>
      </c>
      <c r="K4" s="50" t="n"/>
    </row>
    <row r="5" ht="15" customHeight="1" s="44">
      <c r="A5" s="58" t="n">
        <v>4</v>
      </c>
      <c r="B5" s="59" t="inlineStr">
        <is>
          <t>Airfloa Rail Technology Ltd</t>
        </is>
      </c>
      <c r="C5" s="59" t="inlineStr">
        <is>
          <t>Railway</t>
        </is>
      </c>
      <c r="D5" s="60" t="n">
        <v>46034</v>
      </c>
      <c r="E5" s="61" t="n">
        <v>295</v>
      </c>
      <c r="F5" s="70" t="n">
        <v>4</v>
      </c>
      <c r="G5" s="66" t="inlineStr">
        <is>
          <t>Buy</t>
        </is>
      </c>
      <c r="H5" s="61">
        <f>IFERROR(xlookup(B5,liveprices!$a:$a,liveprices!$d:$d),329)</f>
        <v/>
      </c>
      <c r="I5" s="64" t="n">
        <v>0.115</v>
      </c>
      <c r="J5" s="64">
        <f>IF(E5=0,"",(H5-E5)/E5)</f>
        <v/>
      </c>
      <c r="K5" s="59" t="n"/>
    </row>
    <row r="6" ht="15" customHeight="1" s="44">
      <c r="A6" s="52" t="n">
        <v>5</v>
      </c>
      <c r="B6" s="50" t="inlineStr">
        <is>
          <t>Sat Kartar Shopping Ltd</t>
        </is>
      </c>
      <c r="C6" s="50" t="inlineStr">
        <is>
          <t>Health Care</t>
        </is>
      </c>
      <c r="D6" s="53" t="n">
        <v>46003</v>
      </c>
      <c r="E6" s="54" t="n">
        <v>160</v>
      </c>
      <c r="F6" s="69" t="n">
        <v>3</v>
      </c>
      <c r="G6" s="65" t="inlineStr">
        <is>
          <t>Buy</t>
        </is>
      </c>
      <c r="H6" s="54">
        <f>IFERROR(xlookup(B6,liveprices!$a:$a,liveprices!$d:$d),207)</f>
        <v/>
      </c>
      <c r="I6" s="57" t="n">
        <v>0.293</v>
      </c>
      <c r="J6" s="57">
        <f>IF(E6=0,"",(H6-E6)/E6)</f>
        <v/>
      </c>
      <c r="K6" s="50" t="n"/>
    </row>
    <row r="7" ht="15" customHeight="1" s="44">
      <c r="A7" s="58" t="n">
        <v>6</v>
      </c>
      <c r="B7" s="59" t="inlineStr">
        <is>
          <t>Z-Tech</t>
        </is>
      </c>
      <c r="C7" s="59" t="inlineStr">
        <is>
          <t>Waste management and recycling</t>
        </is>
      </c>
      <c r="D7" s="60" t="n">
        <v>45999</v>
      </c>
      <c r="E7" s="61" t="n">
        <v>515</v>
      </c>
      <c r="F7" s="70" t="n">
        <v>3</v>
      </c>
      <c r="G7" s="66" t="inlineStr">
        <is>
          <t>Buy</t>
        </is>
      </c>
      <c r="H7" s="61">
        <f>IFERROR(xlookup(B7,liveprices!$a:$a,liveprices!$d:$d),601)</f>
        <v/>
      </c>
      <c r="I7" s="64" t="n">
        <v>0.167</v>
      </c>
      <c r="J7" s="64">
        <f>IF(E7=0,"",(H7-E7)/E7)</f>
        <v/>
      </c>
      <c r="K7" s="59" t="n"/>
    </row>
    <row r="8" ht="15" customHeight="1" s="44">
      <c r="A8" s="52" t="n">
        <v>7</v>
      </c>
      <c r="B8" s="50" t="inlineStr">
        <is>
          <t>Sealmatic India Ltd</t>
        </is>
      </c>
      <c r="C8" s="50" t="inlineStr">
        <is>
          <t>Engineering</t>
        </is>
      </c>
      <c r="D8" s="53" t="n">
        <v>45950</v>
      </c>
      <c r="E8" s="54" t="n">
        <v>395.8</v>
      </c>
      <c r="F8" s="69" t="n">
        <v>3</v>
      </c>
      <c r="G8" s="65" t="inlineStr">
        <is>
          <t>Buy</t>
        </is>
      </c>
      <c r="H8" s="54">
        <f>IFERROR(xlookup(B8,liveprices!$a:$a,liveprices!$d:$d),430)</f>
        <v/>
      </c>
      <c r="I8" s="57" t="n">
        <v>0.08799999999999999</v>
      </c>
      <c r="J8" s="57">
        <f>IF(E8=0,"",(H8-E8)/E8)</f>
        <v/>
      </c>
      <c r="K8" s="50" t="n"/>
    </row>
    <row r="9" ht="15" customHeight="1" s="44">
      <c r="A9" s="58" t="n">
        <v>8</v>
      </c>
      <c r="B9" s="59" t="inlineStr">
        <is>
          <t>CFF Fluid Control Ltd</t>
        </is>
      </c>
      <c r="C9" s="59" t="inlineStr">
        <is>
          <t>Defence</t>
        </is>
      </c>
      <c r="D9" s="60" t="n">
        <v>45944</v>
      </c>
      <c r="E9" s="61" t="n">
        <v>617</v>
      </c>
      <c r="F9" s="70" t="n">
        <v>3</v>
      </c>
      <c r="G9" s="66" t="inlineStr">
        <is>
          <t>Buy</t>
        </is>
      </c>
      <c r="H9" s="61">
        <f>IFERROR(xlookup(B9,liveprices!$a:$a,liveprices!$d:$d),770)</f>
        <v/>
      </c>
      <c r="I9" s="64" t="n">
        <v>0.248</v>
      </c>
      <c r="J9" s="64">
        <f>IF(E9=0,"",(H9-E9)/E9)</f>
        <v/>
      </c>
      <c r="K9" s="59" t="n"/>
    </row>
    <row r="10" ht="15" customHeight="1" s="44">
      <c r="A10" s="52" t="n">
        <v>9</v>
      </c>
      <c r="B10" s="50" t="inlineStr">
        <is>
          <t>Sathlokhar Synergys E&amp;C</t>
        </is>
      </c>
      <c r="C10" s="50" t="inlineStr">
        <is>
          <t>Infrastructure &amp; Real Estate</t>
        </is>
      </c>
      <c r="D10" s="53" t="n">
        <v>45943</v>
      </c>
      <c r="E10" s="54" t="n">
        <v>465</v>
      </c>
      <c r="F10" s="69" t="n">
        <v>3</v>
      </c>
      <c r="G10" s="65" t="inlineStr">
        <is>
          <t>Buy</t>
        </is>
      </c>
      <c r="H10" s="54">
        <f>IFERROR(xlookup(B10,liveprices!$a:$a,liveprices!$d:$d),409)</f>
        <v/>
      </c>
      <c r="I10" s="57" t="n">
        <v>-0.12</v>
      </c>
      <c r="J10" s="57">
        <f>IF(E10=0,"",(H10-E10)/E10)</f>
        <v/>
      </c>
      <c r="K10" s="50" t="n"/>
    </row>
    <row r="11" ht="15" customHeight="1" s="44">
      <c r="A11" s="58" t="n">
        <v>10</v>
      </c>
      <c r="B11" s="59" t="inlineStr">
        <is>
          <t>Aluwind Infra-Tech Ltd</t>
        </is>
      </c>
      <c r="C11" s="59" t="inlineStr">
        <is>
          <t>Ferrous &amp; Non Ferrous Metals</t>
        </is>
      </c>
      <c r="D11" s="60" t="n">
        <v>45943</v>
      </c>
      <c r="E11" s="61" t="n">
        <v>87</v>
      </c>
      <c r="F11" s="70" t="n">
        <v>3</v>
      </c>
      <c r="G11" s="66" t="inlineStr">
        <is>
          <t>Buy</t>
        </is>
      </c>
      <c r="H11" s="61">
        <f>IFERROR(xlookup(B11,liveprices!$a:$a,liveprices!$d:$d),57)</f>
        <v/>
      </c>
      <c r="I11" s="64" t="n">
        <v>-0.344</v>
      </c>
      <c r="J11" s="64">
        <f>IF(E11=0,"",(H11-E11)/E11)</f>
        <v/>
      </c>
      <c r="K11" s="59" t="n"/>
    </row>
    <row r="12" ht="15" customHeight="1" s="44">
      <c r="A12" s="52" t="n">
        <v>11</v>
      </c>
      <c r="B12" s="50" t="inlineStr">
        <is>
          <t>Danish Power Ltd</t>
        </is>
      </c>
      <c r="C12" s="50" t="inlineStr">
        <is>
          <t>Power</t>
        </is>
      </c>
      <c r="D12" s="53" t="n">
        <v>45908</v>
      </c>
      <c r="E12" s="54" t="n">
        <v>897</v>
      </c>
      <c r="F12" s="69" t="n">
        <v>4</v>
      </c>
      <c r="G12" s="65" t="inlineStr">
        <is>
          <t>Buy</t>
        </is>
      </c>
      <c r="H12" s="54">
        <f>IFERROR(xlookup(B12,liveprices!$a:$a,liveprices!$d:$d),866)</f>
        <v/>
      </c>
      <c r="I12" s="57" t="n">
        <v>-0.034</v>
      </c>
      <c r="J12" s="57">
        <f>IF(E12=0,"",(H12-E12)/E12)</f>
        <v/>
      </c>
      <c r="K12" s="50" t="n"/>
    </row>
    <row r="13" ht="15" customHeight="1" s="44">
      <c r="A13" s="58" t="n">
        <v>12</v>
      </c>
      <c r="B13" s="59" t="inlineStr">
        <is>
          <t>Wise Travel India Ltd</t>
        </is>
      </c>
      <c r="C13" s="59" t="inlineStr">
        <is>
          <t>Business Support</t>
        </is>
      </c>
      <c r="D13" s="60" t="n">
        <v>45895</v>
      </c>
      <c r="E13" s="61" t="n">
        <v>170</v>
      </c>
      <c r="F13" s="70" t="n">
        <v>3</v>
      </c>
      <c r="G13" s="66" t="inlineStr">
        <is>
          <t>Buy</t>
        </is>
      </c>
      <c r="H13" s="61">
        <f>IFERROR(xlookup(B13,liveprices!$a:$a,liveprices!$d:$d),106)</f>
        <v/>
      </c>
      <c r="I13" s="64" t="n">
        <v>-0.376</v>
      </c>
      <c r="J13" s="64">
        <f>IF(E13=0,"",(H13-E13)/E13)</f>
        <v/>
      </c>
      <c r="K13" s="59" t="n"/>
    </row>
    <row r="14" ht="15" customHeight="1" s="44">
      <c r="A14" s="52" t="n">
        <v>13</v>
      </c>
      <c r="B14" s="50" t="inlineStr">
        <is>
          <t>Infollion Research Services Ltd</t>
        </is>
      </c>
      <c r="C14" s="50" t="inlineStr">
        <is>
          <t>Business Support</t>
        </is>
      </c>
      <c r="D14" s="53" t="n">
        <v>45895</v>
      </c>
      <c r="E14" s="54" t="n">
        <v>440</v>
      </c>
      <c r="F14" s="69" t="n">
        <v>4</v>
      </c>
      <c r="G14" s="65" t="inlineStr">
        <is>
          <t>Buy</t>
        </is>
      </c>
      <c r="H14" s="54">
        <f>IFERROR(xlookup(B14,liveprices!$a:$a,liveprices!$d:$d),245)</f>
        <v/>
      </c>
      <c r="I14" s="57" t="n">
        <v>-0.443</v>
      </c>
      <c r="J14" s="57">
        <f>IF(E14=0,"",(H14-E14)/E14)</f>
        <v/>
      </c>
      <c r="K14" s="50" t="n"/>
    </row>
  </sheetData>
  <autoFilter ref="A1:K14"/>
  <conditionalFormatting sqref="I2:I14">
    <cfRule type="cellIs" rank="0" priority="2" equalAverage="0" operator="greaterThan" aboveAverage="0" dxfId="6" text="" percent="0" bottom="0">
      <formula>0</formula>
    </cfRule>
    <cfRule type="cellIs" rank="0" priority="3" equalAverage="0" operator="lessThan" aboveAverage="0" dxfId="7" text="" percent="0" bottom="0">
      <formula>0</formula>
    </cfRule>
  </conditionalFormatting>
  <conditionalFormatting sqref="J2:J14">
    <cfRule type="cellIs" rank="0" priority="4" equalAverage="0" operator="greaterThan" aboveAverage="0" dxfId="6" text="" percent="0" bottom="0">
      <formula>0</formula>
    </cfRule>
    <cfRule type="cellIs" rank="0" priority="5" equalAverage="0" operator="lessThan" aboveAverage="0" dxfId="7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43" min="1" max="1"/>
    <col width="34" customWidth="1" style="43" min="2" max="2"/>
    <col width="24" customWidth="1" style="43" min="3" max="3"/>
    <col width="11" customWidth="1" style="43" min="4" max="4"/>
    <col width="9" customWidth="1" style="43" min="5" max="5"/>
    <col width="13" customWidth="1" style="43" min="6" max="6"/>
    <col width="11" customWidth="1" style="43" min="7" max="7"/>
    <col width="10" customWidth="1" style="43" min="8" max="8"/>
    <col width="15" customWidth="1" style="43" min="9" max="9"/>
    <col width="11" customWidth="1" style="43" min="10" max="11"/>
    <col width="8" customWidth="1" style="43" min="12" max="12"/>
    <col width="15" customWidth="1" style="43" min="13" max="13"/>
    <col width="11" customWidth="1" style="43" min="14" max="14"/>
    <col width="13" customWidth="1" style="43" min="15" max="15"/>
    <col width="34" customWidth="1" style="43" min="16" max="16"/>
    <col width="26" customWidth="1" style="43" min="17" max="17"/>
  </cols>
  <sheetData>
    <row r="1" ht="23.85" customHeight="1" s="44">
      <c r="A1" s="48" t="inlineStr">
        <is>
          <t>Portfolio</t>
        </is>
      </c>
      <c r="B1" s="48" t="inlineStr">
        <is>
          <t>Stock Name</t>
        </is>
      </c>
      <c r="C1" s="48" t="inlineStr">
        <is>
          <t>Sector</t>
        </is>
      </c>
      <c r="D1" s="48" t="inlineStr">
        <is>
          <t>NSE Symbol</t>
        </is>
      </c>
      <c r="E1" s="48" t="inlineStr">
        <is>
          <t>BSE Code</t>
        </is>
      </c>
      <c r="F1" s="48" t="inlineStr">
        <is>
          <t>Date of Rec</t>
        </is>
      </c>
      <c r="G1" s="48" t="inlineStr">
        <is>
          <t>Price at Rec</t>
        </is>
      </c>
      <c r="H1" s="48" t="inlineStr">
        <is>
          <t>CMP</t>
        </is>
      </c>
      <c r="I1" s="48" t="inlineStr">
        <is>
          <t>Return % (reported)</t>
        </is>
      </c>
      <c r="J1" s="48" t="inlineStr">
        <is>
          <t>Live P/L %</t>
        </is>
      </c>
      <c r="K1" s="48" t="inlineStr">
        <is>
          <t>Alloc / Rating</t>
        </is>
      </c>
      <c r="L1" s="48" t="inlineStr">
        <is>
          <t>Action</t>
        </is>
      </c>
      <c r="M1" s="48" t="inlineStr">
        <is>
          <t>Thesis Status</t>
        </is>
      </c>
      <c r="N1" s="48" t="inlineStr">
        <is>
          <t>Conviction</t>
        </is>
      </c>
      <c r="O1" s="48" t="inlineStr">
        <is>
          <t>Last Reviewed</t>
        </is>
      </c>
      <c r="P1" s="48" t="inlineStr">
        <is>
          <t>What Breaks This</t>
        </is>
      </c>
      <c r="Q1" s="48" t="inlineStr">
        <is>
          <t>Notes</t>
        </is>
      </c>
    </row>
    <row r="2" ht="15" customHeight="1" s="44">
      <c r="A2" s="71" t="inlineStr">
        <is>
          <t>Emerging Titans</t>
        </is>
      </c>
      <c r="B2" s="50" t="inlineStr">
        <is>
          <t>Techno Electric &amp; Engineering Ltd</t>
        </is>
      </c>
      <c r="C2" s="50" t="inlineStr">
        <is>
          <t>Power</t>
        </is>
      </c>
      <c r="D2" s="50" t="inlineStr">
        <is>
          <t>TECHNOE</t>
        </is>
      </c>
      <c r="E2" s="50" t="n"/>
      <c r="F2" s="53" t="n">
        <v>46169</v>
      </c>
      <c r="G2" s="54" t="n">
        <v>1125</v>
      </c>
      <c r="H2" s="54">
        <f>IFERROR(xlookup(B2,liveprices!$a:$a,liveprices!$d:$d),1125)</f>
        <v/>
      </c>
      <c r="I2" s="57" t="n">
        <v>-0.134</v>
      </c>
      <c r="J2" s="57">
        <f>IF(G2=0,"",(H2-G2)/G2)</f>
        <v/>
      </c>
      <c r="K2" s="52" t="inlineStr">
        <is>
          <t>5%</t>
        </is>
      </c>
      <c r="L2" s="56" t="inlineStr">
        <is>
          <t>Sell</t>
        </is>
      </c>
      <c r="M2" s="72" t="n"/>
      <c r="N2" s="72" t="n"/>
      <c r="O2" s="53" t="n">
        <v>46175</v>
      </c>
      <c r="P2" s="72" t="n"/>
      <c r="Q2" s="50" t="inlineStr">
        <is>
          <t>Marked Sell 27 May 2026 (exit); source CMP shown = entry price</t>
        </is>
      </c>
    </row>
    <row r="3" ht="15" customHeight="1" s="44">
      <c r="A3" s="73" t="inlineStr">
        <is>
          <t>Emerging Titans</t>
        </is>
      </c>
      <c r="B3" s="59" t="inlineStr">
        <is>
          <t>Oswal Pumps Ltd</t>
        </is>
      </c>
      <c r="C3" s="59" t="inlineStr">
        <is>
          <t>Capital Goods</t>
        </is>
      </c>
      <c r="D3" s="59" t="inlineStr">
        <is>
          <t>OSWALPUMPS</t>
        </is>
      </c>
      <c r="E3" s="59" t="n"/>
      <c r="F3" s="60" t="n">
        <v>46169</v>
      </c>
      <c r="G3" s="61" t="n">
        <v>362</v>
      </c>
      <c r="H3" s="61">
        <f>IFERROR(xlookup(B3,liveprices!$a:$a,liveprices!$d:$d),362)</f>
        <v/>
      </c>
      <c r="I3" s="64" t="n">
        <v>-0.368</v>
      </c>
      <c r="J3" s="64">
        <f>IF(G3=0,"",(H3-G3)/G3)</f>
        <v/>
      </c>
      <c r="K3" s="58" t="inlineStr">
        <is>
          <t>3%</t>
        </is>
      </c>
      <c r="L3" s="63" t="inlineStr">
        <is>
          <t>Sell</t>
        </is>
      </c>
      <c r="M3" s="72" t="n"/>
      <c r="N3" s="72" t="n"/>
      <c r="O3" s="60" t="n">
        <v>46175</v>
      </c>
      <c r="P3" s="72" t="n"/>
      <c r="Q3" s="59" t="inlineStr">
        <is>
          <t>Marked Sell 27 May 2026 (exit); source CMP shown = entry price</t>
        </is>
      </c>
    </row>
    <row r="4" ht="15" customHeight="1" s="44">
      <c r="A4" s="71" t="inlineStr">
        <is>
          <t>Emerging Titans</t>
        </is>
      </c>
      <c r="B4" s="50" t="inlineStr">
        <is>
          <t>PNGS Reva Diamond Jewellery Limited</t>
        </is>
      </c>
      <c r="C4" s="50" t="inlineStr">
        <is>
          <t>Jewellery</t>
        </is>
      </c>
      <c r="D4" s="50" t="inlineStr">
        <is>
          <t>PNGSREVA</t>
        </is>
      </c>
      <c r="E4" s="50" t="n"/>
      <c r="F4" s="53" t="n">
        <v>46119</v>
      </c>
      <c r="G4" s="54" t="n">
        <v>379</v>
      </c>
      <c r="H4" s="54">
        <f>IFERROR(xlookup(B4,liveprices!$a:$a,liveprices!$d:$d),388)</f>
        <v/>
      </c>
      <c r="I4" s="57" t="n">
        <v>0.023</v>
      </c>
      <c r="J4" s="57">
        <f>IF(G4=0,"",(H4-G4)/G4)</f>
        <v/>
      </c>
      <c r="K4" s="52" t="inlineStr">
        <is>
          <t>3%</t>
        </is>
      </c>
      <c r="L4" s="65" t="inlineStr">
        <is>
          <t>Buy</t>
        </is>
      </c>
      <c r="M4" s="72" t="n"/>
      <c r="N4" s="72" t="n"/>
      <c r="O4" s="53" t="n">
        <v>46175</v>
      </c>
      <c r="P4" s="72" t="n"/>
      <c r="Q4" s="50" t="n"/>
    </row>
    <row r="5" ht="15" customHeight="1" s="44">
      <c r="A5" s="73" t="inlineStr">
        <is>
          <t>Emerging Titans</t>
        </is>
      </c>
      <c r="B5" s="59" t="inlineStr">
        <is>
          <t>HBL Engineering</t>
        </is>
      </c>
      <c r="C5" s="59" t="inlineStr">
        <is>
          <t>Railway</t>
        </is>
      </c>
      <c r="D5" s="59" t="inlineStr">
        <is>
          <t>HBLENGINE</t>
        </is>
      </c>
      <c r="E5" s="59" t="n"/>
      <c r="F5" s="60" t="n">
        <v>46083</v>
      </c>
      <c r="G5" s="61" t="n">
        <v>666</v>
      </c>
      <c r="H5" s="61">
        <f>IFERROR(xlookup(B5,liveprices!$a:$a,liveprices!$d:$d),822)</f>
        <v/>
      </c>
      <c r="I5" s="64" t="n">
        <v>0.235</v>
      </c>
      <c r="J5" s="64">
        <f>IF(G5=0,"",(H5-G5)/G5)</f>
        <v/>
      </c>
      <c r="K5" s="58" t="inlineStr">
        <is>
          <t>5%</t>
        </is>
      </c>
      <c r="L5" s="66" t="inlineStr">
        <is>
          <t>Buy</t>
        </is>
      </c>
      <c r="M5" s="72" t="n"/>
      <c r="N5" s="72" t="n"/>
      <c r="O5" s="60" t="n">
        <v>46175</v>
      </c>
      <c r="P5" s="72" t="n"/>
      <c r="Q5" s="59" t="n"/>
    </row>
    <row r="6" ht="15" customHeight="1" s="44">
      <c r="A6" s="71" t="inlineStr">
        <is>
          <t>Emerging Titans</t>
        </is>
      </c>
      <c r="B6" s="50" t="inlineStr">
        <is>
          <t>Centum Electronics Ltd</t>
        </is>
      </c>
      <c r="C6" s="50" t="inlineStr">
        <is>
          <t>Defence &amp; Electronics</t>
        </is>
      </c>
      <c r="D6" s="50" t="inlineStr">
        <is>
          <t>CENTUM</t>
        </is>
      </c>
      <c r="E6" s="50" t="n"/>
      <c r="F6" s="53" t="n">
        <v>46083</v>
      </c>
      <c r="G6" s="54" t="n">
        <v>2685</v>
      </c>
      <c r="H6" s="54">
        <f>IFERROR(xlookup(B6,liveprices!$a:$a,liveprices!$d:$d),2880)</f>
        <v/>
      </c>
      <c r="I6" s="57" t="n">
        <v>0.07199999999999999</v>
      </c>
      <c r="J6" s="57">
        <f>IF(G6=0,"",(H6-G6)/G6)</f>
        <v/>
      </c>
      <c r="K6" s="52" t="inlineStr">
        <is>
          <t>4%</t>
        </is>
      </c>
      <c r="L6" s="65" t="inlineStr">
        <is>
          <t>Buy</t>
        </is>
      </c>
      <c r="M6" s="72" t="n"/>
      <c r="N6" s="72" t="n"/>
      <c r="O6" s="53" t="n">
        <v>46175</v>
      </c>
      <c r="P6" s="72" t="n"/>
      <c r="Q6" s="50" t="n"/>
    </row>
    <row r="7" ht="15" customHeight="1" s="44">
      <c r="A7" s="73" t="inlineStr">
        <is>
          <t>Emerging Titans</t>
        </is>
      </c>
      <c r="B7" s="59" t="inlineStr">
        <is>
          <t>SJS</t>
        </is>
      </c>
      <c r="C7" s="59" t="inlineStr">
        <is>
          <t>Auto</t>
        </is>
      </c>
      <c r="D7" s="59" t="inlineStr">
        <is>
          <t>SJS</t>
        </is>
      </c>
      <c r="E7" s="59" t="n"/>
      <c r="F7" s="60" t="n">
        <v>46034</v>
      </c>
      <c r="G7" s="61" t="n">
        <v>1635</v>
      </c>
      <c r="H7" s="61">
        <f>IFERROR(xlookup(B7,liveprices!$a:$a,liveprices!$d:$d),1698)</f>
        <v/>
      </c>
      <c r="I7" s="64" t="n">
        <v>0.038</v>
      </c>
      <c r="J7" s="64">
        <f>IF(G7=0,"",(H7-G7)/G7)</f>
        <v/>
      </c>
      <c r="K7" s="58" t="inlineStr">
        <is>
          <t>3%</t>
        </is>
      </c>
      <c r="L7" s="66" t="inlineStr">
        <is>
          <t>Buy</t>
        </is>
      </c>
      <c r="M7" s="72" t="n"/>
      <c r="N7" s="72" t="n"/>
      <c r="O7" s="60" t="n">
        <v>46175</v>
      </c>
      <c r="P7" s="72" t="n"/>
      <c r="Q7" s="59" t="n"/>
    </row>
    <row r="8" ht="15" customHeight="1" s="44">
      <c r="A8" s="71" t="inlineStr">
        <is>
          <t>Emerging Titans</t>
        </is>
      </c>
      <c r="B8" s="50" t="inlineStr">
        <is>
          <t>Narayana Hrudayalaya Ltd</t>
        </is>
      </c>
      <c r="C8" s="50" t="inlineStr">
        <is>
          <t>Hospitals</t>
        </is>
      </c>
      <c r="D8" s="50" t="inlineStr">
        <is>
          <t>NH</t>
        </is>
      </c>
      <c r="E8" s="50" t="n"/>
      <c r="F8" s="53" t="n">
        <v>46034</v>
      </c>
      <c r="G8" s="54" t="n">
        <v>1862</v>
      </c>
      <c r="H8" s="54">
        <f>IFERROR(xlookup(B8,liveprices!$a:$a,liveprices!$d:$d),1799)</f>
        <v/>
      </c>
      <c r="I8" s="57" t="n">
        <v>-0.033</v>
      </c>
      <c r="J8" s="57">
        <f>IF(G8=0,"",(H8-G8)/G8)</f>
        <v/>
      </c>
      <c r="K8" s="52" t="inlineStr">
        <is>
          <t>3%</t>
        </is>
      </c>
      <c r="L8" s="65" t="inlineStr">
        <is>
          <t>Buy</t>
        </is>
      </c>
      <c r="M8" s="72" t="n"/>
      <c r="N8" s="72" t="n"/>
      <c r="O8" s="53" t="n">
        <v>46175</v>
      </c>
      <c r="P8" s="72" t="n"/>
      <c r="Q8" s="50" t="n"/>
    </row>
    <row r="9" ht="15" customHeight="1" s="44">
      <c r="A9" s="73" t="inlineStr">
        <is>
          <t>Emerging Titans</t>
        </is>
      </c>
      <c r="B9" s="59" t="inlineStr">
        <is>
          <t>Force Motors</t>
        </is>
      </c>
      <c r="C9" s="59" t="inlineStr">
        <is>
          <t>Auto</t>
        </is>
      </c>
      <c r="D9" s="59" t="inlineStr">
        <is>
          <t>FORCEMOT</t>
        </is>
      </c>
      <c r="E9" s="59" t="n"/>
      <c r="F9" s="60" t="n">
        <v>46034</v>
      </c>
      <c r="G9" s="61" t="n">
        <v>19000</v>
      </c>
      <c r="H9" s="61">
        <f>IFERROR(xlookup(B9,liveprices!$a:$a,liveprices!$d:$d),20913)</f>
        <v/>
      </c>
      <c r="I9" s="64" t="n">
        <v>0.1</v>
      </c>
      <c r="J9" s="64">
        <f>IF(G9=0,"",(H9-G9)/G9)</f>
        <v/>
      </c>
      <c r="K9" s="58" t="inlineStr">
        <is>
          <t>3%</t>
        </is>
      </c>
      <c r="L9" s="66" t="inlineStr">
        <is>
          <t>Buy</t>
        </is>
      </c>
      <c r="M9" s="72" t="n"/>
      <c r="N9" s="72" t="n"/>
      <c r="O9" s="60" t="n">
        <v>46175</v>
      </c>
      <c r="P9" s="72" t="n"/>
      <c r="Q9" s="59" t="n"/>
    </row>
    <row r="10" ht="15" customHeight="1" s="44">
      <c r="A10" s="71" t="inlineStr">
        <is>
          <t>Emerging Titans</t>
        </is>
      </c>
      <c r="B10" s="50" t="inlineStr">
        <is>
          <t>Samhi Hotels</t>
        </is>
      </c>
      <c r="C10" s="50" t="inlineStr">
        <is>
          <t>Hotels</t>
        </is>
      </c>
      <c r="D10" s="50" t="inlineStr">
        <is>
          <t>SAMHI</t>
        </is>
      </c>
      <c r="E10" s="50" t="n"/>
      <c r="F10" s="53" t="n">
        <v>46034</v>
      </c>
      <c r="G10" s="54" t="n">
        <v>189.5</v>
      </c>
      <c r="H10" s="54">
        <f>IFERROR(xlookup(B10,liveprices!$a:$a,liveprices!$d:$d),163.2)</f>
        <v/>
      </c>
      <c r="I10" s="57" t="n">
        <v>-0.138</v>
      </c>
      <c r="J10" s="57">
        <f>IF(G10=0,"",(H10-G10)/G10)</f>
        <v/>
      </c>
      <c r="K10" s="52" t="inlineStr">
        <is>
          <t>2%</t>
        </is>
      </c>
      <c r="L10" s="65" t="inlineStr">
        <is>
          <t>Buy</t>
        </is>
      </c>
      <c r="M10" s="72" t="n"/>
      <c r="N10" s="72" t="n"/>
      <c r="O10" s="53" t="n">
        <v>46175</v>
      </c>
      <c r="P10" s="72" t="n"/>
      <c r="Q10" s="50" t="n"/>
    </row>
    <row r="11" ht="15" customHeight="1" s="44">
      <c r="A11" s="73" t="inlineStr">
        <is>
          <t>Emerging Titans</t>
        </is>
      </c>
      <c r="B11" s="59" t="inlineStr">
        <is>
          <t>Gravita India Limited</t>
        </is>
      </c>
      <c r="C11" s="59" t="inlineStr">
        <is>
          <t>Recycling</t>
        </is>
      </c>
      <c r="D11" s="59" t="inlineStr">
        <is>
          <t>GRAVITA</t>
        </is>
      </c>
      <c r="E11" s="59" t="n"/>
      <c r="F11" s="60" t="n">
        <v>46030</v>
      </c>
      <c r="G11" s="61" t="n">
        <v>1736</v>
      </c>
      <c r="H11" s="61">
        <f>IFERROR(xlookup(B11,liveprices!$a:$a,liveprices!$d:$d),1589)</f>
        <v/>
      </c>
      <c r="I11" s="64" t="n">
        <v>-0.08400000000000001</v>
      </c>
      <c r="J11" s="64">
        <f>IF(G11=0,"",(H11-G11)/G11)</f>
        <v/>
      </c>
      <c r="K11" s="58" t="inlineStr">
        <is>
          <t>3%</t>
        </is>
      </c>
      <c r="L11" s="66" t="inlineStr">
        <is>
          <t>Buy</t>
        </is>
      </c>
      <c r="M11" s="72" t="n"/>
      <c r="N11" s="72" t="n"/>
      <c r="O11" s="60" t="n">
        <v>46175</v>
      </c>
      <c r="P11" s="72" t="n"/>
      <c r="Q11" s="59" t="n"/>
    </row>
    <row r="12" ht="15" customHeight="1" s="44">
      <c r="A12" s="71" t="inlineStr">
        <is>
          <t>Emerging Titans</t>
        </is>
      </c>
      <c r="B12" s="50" t="inlineStr">
        <is>
          <t>Timex Group</t>
        </is>
      </c>
      <c r="C12" s="50" t="inlineStr">
        <is>
          <t>Watches</t>
        </is>
      </c>
      <c r="D12" s="50" t="inlineStr">
        <is>
          <t>TIMEX</t>
        </is>
      </c>
      <c r="E12" s="50" t="n"/>
      <c r="F12" s="53" t="n">
        <v>46030</v>
      </c>
      <c r="G12" s="54" t="n">
        <v>335</v>
      </c>
      <c r="H12" s="54">
        <f>IFERROR(xlookup(B12,liveprices!$a:$a,liveprices!$d:$d),336)</f>
        <v/>
      </c>
      <c r="I12" s="57" t="n">
        <v>0</v>
      </c>
      <c r="J12" s="57">
        <f>IF(G12=0,"",(H12-G12)/G12)</f>
        <v/>
      </c>
      <c r="K12" s="52" t="inlineStr">
        <is>
          <t>3%</t>
        </is>
      </c>
      <c r="L12" s="65" t="inlineStr">
        <is>
          <t>Buy</t>
        </is>
      </c>
      <c r="M12" s="72" t="n"/>
      <c r="N12" s="72" t="n"/>
      <c r="O12" s="53" t="n">
        <v>46175</v>
      </c>
      <c r="P12" s="72" t="n"/>
      <c r="Q12" s="50" t="n"/>
    </row>
    <row r="13" ht="15" customHeight="1" s="44">
      <c r="A13" s="73" t="inlineStr">
        <is>
          <t>Emerging Titans</t>
        </is>
      </c>
      <c r="B13" s="59" t="inlineStr">
        <is>
          <t>Federal bank financial services</t>
        </is>
      </c>
      <c r="C13" s="59" t="inlineStr">
        <is>
          <t>NBFC</t>
        </is>
      </c>
      <c r="D13" s="59" t="inlineStr">
        <is>
          <t>FEDFINA</t>
        </is>
      </c>
      <c r="E13" s="59" t="n"/>
      <c r="F13" s="60" t="n">
        <v>46030</v>
      </c>
      <c r="G13" s="61" t="n">
        <v>159</v>
      </c>
      <c r="H13" s="61">
        <f>IFERROR(xlookup(B13,liveprices!$a:$a,liveprices!$d:$d),151)</f>
        <v/>
      </c>
      <c r="I13" s="64" t="n">
        <v>-0.04</v>
      </c>
      <c r="J13" s="64">
        <f>IF(G13=0,"",(H13-G13)/G13)</f>
        <v/>
      </c>
      <c r="K13" s="58" t="inlineStr">
        <is>
          <t>3%</t>
        </is>
      </c>
      <c r="L13" s="66" t="inlineStr">
        <is>
          <t>Buy</t>
        </is>
      </c>
      <c r="M13" s="72" t="n"/>
      <c r="N13" s="72" t="n"/>
      <c r="O13" s="60" t="n">
        <v>46175</v>
      </c>
      <c r="P13" s="72" t="n"/>
      <c r="Q13" s="59" t="n"/>
    </row>
    <row r="14" ht="15" customHeight="1" s="44">
      <c r="A14" s="71" t="inlineStr">
        <is>
          <t>Emerging Titans</t>
        </is>
      </c>
      <c r="B14" s="50" t="inlineStr">
        <is>
          <t>Praveg Ltd</t>
        </is>
      </c>
      <c r="C14" s="50" t="inlineStr">
        <is>
          <t>Hospitality</t>
        </is>
      </c>
      <c r="D14" s="50" t="inlineStr">
        <is>
          <t>PRAVEG</t>
        </is>
      </c>
      <c r="E14" s="50" t="n"/>
      <c r="F14" s="53" t="n">
        <v>46021</v>
      </c>
      <c r="G14" s="54" t="n">
        <v>315</v>
      </c>
      <c r="H14" s="54">
        <f>IFERROR(xlookup(B14,liveprices!$a:$a,liveprices!$d:$d),260)</f>
        <v/>
      </c>
      <c r="I14" s="57" t="n">
        <v>-0.17</v>
      </c>
      <c r="J14" s="57">
        <f>IF(G14=0,"",(H14-G14)/G14)</f>
        <v/>
      </c>
      <c r="K14" s="52" t="inlineStr">
        <is>
          <t>3%</t>
        </is>
      </c>
      <c r="L14" s="65" t="inlineStr">
        <is>
          <t>Buy</t>
        </is>
      </c>
      <c r="M14" s="72" t="n"/>
      <c r="N14" s="72" t="n"/>
      <c r="O14" s="53" t="n">
        <v>46175</v>
      </c>
      <c r="P14" s="72" t="n"/>
      <c r="Q14" s="50" t="n"/>
    </row>
    <row r="15" ht="15" customHeight="1" s="44">
      <c r="A15" s="73" t="inlineStr">
        <is>
          <t>Emerging Titans</t>
        </is>
      </c>
      <c r="B15" s="59" t="inlineStr">
        <is>
          <t>Navkar Corporation Ltd</t>
        </is>
      </c>
      <c r="C15" s="59" t="inlineStr">
        <is>
          <t>Logistics Services</t>
        </is>
      </c>
      <c r="D15" s="59" t="inlineStr">
        <is>
          <t>NAVKARCORP</t>
        </is>
      </c>
      <c r="E15" s="59" t="n"/>
      <c r="F15" s="60" t="n">
        <v>45986</v>
      </c>
      <c r="G15" s="61" t="n">
        <v>96.40000000000001</v>
      </c>
      <c r="H15" s="61">
        <f>IFERROR(xlookup(B15,liveprices!$a:$a,liveprices!$d:$d),106)</f>
        <v/>
      </c>
      <c r="I15" s="64" t="n">
        <v>0.1</v>
      </c>
      <c r="J15" s="64">
        <f>IF(G15=0,"",(H15-G15)/G15)</f>
        <v/>
      </c>
      <c r="K15" s="58" t="inlineStr">
        <is>
          <t>3%</t>
        </is>
      </c>
      <c r="L15" s="66" t="inlineStr">
        <is>
          <t>Buy</t>
        </is>
      </c>
      <c r="M15" s="72" t="n"/>
      <c r="N15" s="72" t="n"/>
      <c r="O15" s="60" t="n">
        <v>46175</v>
      </c>
      <c r="P15" s="72" t="n"/>
      <c r="Q15" s="59" t="n"/>
    </row>
    <row r="16" ht="15" customHeight="1" s="44">
      <c r="A16" s="71" t="inlineStr">
        <is>
          <t>Emerging Titans</t>
        </is>
      </c>
      <c r="B16" s="50" t="inlineStr">
        <is>
          <t>Indo Tech Transformers Ltd</t>
        </is>
      </c>
      <c r="C16" s="50" t="inlineStr">
        <is>
          <t>Power</t>
        </is>
      </c>
      <c r="D16" s="50" t="inlineStr">
        <is>
          <t>INDOTECH</t>
        </is>
      </c>
      <c r="E16" s="50" t="n"/>
      <c r="F16" s="53" t="n">
        <v>45923</v>
      </c>
      <c r="G16" s="54" t="n">
        <v>1759</v>
      </c>
      <c r="H16" s="54">
        <f>IFERROR(xlookup(B16,liveprices!$a:$a,liveprices!$d:$d),2406)</f>
        <v/>
      </c>
      <c r="I16" s="57" t="n">
        <v>0.37</v>
      </c>
      <c r="J16" s="57">
        <f>IF(G16=0,"",(H16-G16)/G16)</f>
        <v/>
      </c>
      <c r="K16" s="52" t="inlineStr">
        <is>
          <t>3%</t>
        </is>
      </c>
      <c r="L16" s="65" t="inlineStr">
        <is>
          <t>Buy</t>
        </is>
      </c>
      <c r="M16" s="72" t="n"/>
      <c r="N16" s="72" t="n"/>
      <c r="O16" s="53" t="n">
        <v>46175</v>
      </c>
      <c r="P16" s="72" t="n"/>
      <c r="Q16" s="50" t="n"/>
    </row>
    <row r="17" ht="15" customHeight="1" s="44">
      <c r="A17" s="73" t="inlineStr">
        <is>
          <t>Emerging Titans</t>
        </is>
      </c>
      <c r="B17" s="59" t="inlineStr">
        <is>
          <t>Arkade Developers Ltd</t>
        </is>
      </c>
      <c r="C17" s="59" t="inlineStr">
        <is>
          <t>Infrastructure &amp; Real Estate</t>
        </is>
      </c>
      <c r="D17" s="59" t="inlineStr">
        <is>
          <t>ARKADE</t>
        </is>
      </c>
      <c r="E17" s="59" t="n"/>
      <c r="F17" s="60" t="n">
        <v>45911</v>
      </c>
      <c r="G17" s="61" t="n">
        <v>179</v>
      </c>
      <c r="H17" s="61">
        <f>IFERROR(xlookup(B17,liveprices!$a:$a,liveprices!$d:$d),115)</f>
        <v/>
      </c>
      <c r="I17" s="64" t="n">
        <v>-0.35</v>
      </c>
      <c r="J17" s="64">
        <f>IF(G17=0,"",(H17-G17)/G17)</f>
        <v/>
      </c>
      <c r="K17" s="58" t="inlineStr">
        <is>
          <t>3%</t>
        </is>
      </c>
      <c r="L17" s="66" t="inlineStr">
        <is>
          <t>Buy</t>
        </is>
      </c>
      <c r="M17" s="72" t="n"/>
      <c r="N17" s="72" t="n"/>
      <c r="O17" s="60" t="n">
        <v>46175</v>
      </c>
      <c r="P17" s="72" t="n"/>
      <c r="Q17" s="59" t="n"/>
    </row>
    <row r="18" ht="15" customHeight="1" s="44">
      <c r="A18" s="71" t="inlineStr">
        <is>
          <t>Emerging Titans</t>
        </is>
      </c>
      <c r="B18" s="50" t="inlineStr">
        <is>
          <t>Sambhv Steel Tubes Ltd</t>
        </is>
      </c>
      <c r="C18" s="50" t="inlineStr">
        <is>
          <t>Ferrous &amp; Non Ferrous Metals</t>
        </is>
      </c>
      <c r="D18" s="50" t="inlineStr">
        <is>
          <t>SAMBHV</t>
        </is>
      </c>
      <c r="E18" s="50" t="n"/>
      <c r="F18" s="53" t="n">
        <v>45911</v>
      </c>
      <c r="G18" s="54" t="n">
        <v>114.5</v>
      </c>
      <c r="H18" s="54">
        <f>IFERROR(xlookup(B18,liveprices!$a:$a,liveprices!$d:$d),120)</f>
        <v/>
      </c>
      <c r="I18" s="57" t="n">
        <v>0.048</v>
      </c>
      <c r="J18" s="57">
        <f>IF(G18=0,"",(H18-G18)/G18)</f>
        <v/>
      </c>
      <c r="K18" s="52" t="inlineStr">
        <is>
          <t>5%</t>
        </is>
      </c>
      <c r="L18" s="65" t="inlineStr">
        <is>
          <t>Buy</t>
        </is>
      </c>
      <c r="M18" s="72" t="n"/>
      <c r="N18" s="72" t="n"/>
      <c r="O18" s="53" t="n">
        <v>46175</v>
      </c>
      <c r="P18" s="72" t="n"/>
      <c r="Q18" s="50" t="n"/>
    </row>
    <row r="19" ht="15" customHeight="1" s="44">
      <c r="A19" s="73" t="inlineStr">
        <is>
          <t>Emerging Titans</t>
        </is>
      </c>
      <c r="B19" s="59" t="inlineStr">
        <is>
          <t>India Shelter Finance</t>
        </is>
      </c>
      <c r="C19" s="59" t="inlineStr">
        <is>
          <t>Finance</t>
        </is>
      </c>
      <c r="D19" s="59" t="inlineStr">
        <is>
          <t>INDIASHLTR</t>
        </is>
      </c>
      <c r="E19" s="59" t="n"/>
      <c r="F19" s="60" t="n">
        <v>45821</v>
      </c>
      <c r="G19" s="61" t="n">
        <v>889</v>
      </c>
      <c r="H19" s="61">
        <f>IFERROR(xlookup(B19,liveprices!$a:$a,liveprices!$d:$d),805)</f>
        <v/>
      </c>
      <c r="I19" s="64" t="n">
        <v>-0.09</v>
      </c>
      <c r="J19" s="64">
        <f>IF(G19=0,"",(H19-G19)/G19)</f>
        <v/>
      </c>
      <c r="K19" s="58" t="inlineStr">
        <is>
          <t>5%</t>
        </is>
      </c>
      <c r="L19" s="66" t="inlineStr">
        <is>
          <t>Buy</t>
        </is>
      </c>
      <c r="M19" s="72" t="n"/>
      <c r="N19" s="72" t="n"/>
      <c r="O19" s="60" t="n">
        <v>46175</v>
      </c>
      <c r="P19" s="72" t="n"/>
      <c r="Q19" s="59" t="n"/>
    </row>
    <row r="20" ht="15" customHeight="1" s="44">
      <c r="A20" s="71" t="inlineStr">
        <is>
          <t>Emerging Titans</t>
        </is>
      </c>
      <c r="B20" s="50" t="inlineStr">
        <is>
          <t>Kilburn Engineering</t>
        </is>
      </c>
      <c r="C20" s="50" t="inlineStr">
        <is>
          <t>Engineering</t>
        </is>
      </c>
      <c r="D20" s="50" t="n"/>
      <c r="E20" s="50" t="inlineStr">
        <is>
          <t>522101</t>
        </is>
      </c>
      <c r="F20" s="53" t="n">
        <v>45800</v>
      </c>
      <c r="G20" s="54" t="n">
        <v>454</v>
      </c>
      <c r="H20" s="54">
        <f>IFERROR(xlookup(B20,liveprices!$a:$a,liveprices!$d:$d),525)</f>
        <v/>
      </c>
      <c r="I20" s="57" t="n">
        <v>0.156</v>
      </c>
      <c r="J20" s="57">
        <f>IF(G20=0,"",(H20-G20)/G20)</f>
        <v/>
      </c>
      <c r="K20" s="52" t="inlineStr">
        <is>
          <t>5%</t>
        </is>
      </c>
      <c r="L20" s="65" t="inlineStr">
        <is>
          <t>Buy</t>
        </is>
      </c>
      <c r="M20" s="72" t="n"/>
      <c r="N20" s="72" t="n"/>
      <c r="O20" s="53" t="n">
        <v>46175</v>
      </c>
      <c r="P20" s="72" t="n"/>
      <c r="Q20" s="50" t="n"/>
    </row>
    <row r="21" ht="15" customHeight="1" s="44">
      <c r="A21" s="73" t="inlineStr">
        <is>
          <t>Emerging Titans</t>
        </is>
      </c>
      <c r="B21" s="59" t="inlineStr">
        <is>
          <t>PSP Projects</t>
        </is>
      </c>
      <c r="C21" s="59" t="inlineStr">
        <is>
          <t>Infrastructure &amp; Real Estate</t>
        </is>
      </c>
      <c r="D21" s="59" t="inlineStr">
        <is>
          <t>PSPPROJECT</t>
        </is>
      </c>
      <c r="E21" s="59" t="n"/>
      <c r="F21" s="60" t="n">
        <v>45776</v>
      </c>
      <c r="G21" s="61" t="n">
        <v>637</v>
      </c>
      <c r="H21" s="61">
        <f>IFERROR(xlookup(B21,liveprices!$a:$a,liveprices!$d:$d),735)</f>
        <v/>
      </c>
      <c r="I21" s="64" t="n">
        <v>0.16</v>
      </c>
      <c r="J21" s="64">
        <f>IF(G21=0,"",(H21-G21)/G21)</f>
        <v/>
      </c>
      <c r="K21" s="58" t="inlineStr">
        <is>
          <t>3%</t>
        </is>
      </c>
      <c r="L21" s="66" t="inlineStr">
        <is>
          <t>Buy</t>
        </is>
      </c>
      <c r="M21" s="72" t="n"/>
      <c r="N21" s="72" t="n"/>
      <c r="O21" s="60" t="n">
        <v>46175</v>
      </c>
      <c r="P21" s="72" t="n"/>
      <c r="Q21" s="59" t="n"/>
    </row>
    <row r="22" ht="15" customHeight="1" s="44">
      <c r="A22" s="71" t="inlineStr">
        <is>
          <t>Emerging Titans</t>
        </is>
      </c>
      <c r="B22" s="50" t="inlineStr">
        <is>
          <t>Frontier Spring</t>
        </is>
      </c>
      <c r="C22" s="50" t="inlineStr">
        <is>
          <t>Railway</t>
        </is>
      </c>
      <c r="D22" s="50" t="inlineStr">
        <is>
          <t>FRONTSP</t>
        </is>
      </c>
      <c r="E22" s="50" t="n"/>
      <c r="F22" s="53" t="n">
        <v>45770</v>
      </c>
      <c r="G22" s="54" t="n">
        <v>761</v>
      </c>
      <c r="H22" s="54">
        <f>IFERROR(xlookup(B22,liveprices!$a:$a,liveprices!$d:$d),1492)</f>
        <v/>
      </c>
      <c r="I22" s="57" t="n">
        <v>0.96</v>
      </c>
      <c r="J22" s="57">
        <f>IF(G22=0,"",(H22-G22)/G22)</f>
        <v/>
      </c>
      <c r="K22" s="52" t="inlineStr">
        <is>
          <t>3%</t>
        </is>
      </c>
      <c r="L22" s="65" t="inlineStr">
        <is>
          <t>Buy</t>
        </is>
      </c>
      <c r="M22" s="72" t="n"/>
      <c r="N22" s="72" t="n"/>
      <c r="O22" s="53" t="n">
        <v>46175</v>
      </c>
      <c r="P22" s="72" t="n"/>
      <c r="Q22" s="50" t="n"/>
    </row>
    <row r="23" ht="15" customHeight="1" s="44">
      <c r="A23" s="73" t="inlineStr">
        <is>
          <t>Emerging Titans</t>
        </is>
      </c>
      <c r="B23" s="59" t="inlineStr">
        <is>
          <t>CCL Products (India) Ltd</t>
        </is>
      </c>
      <c r="C23" s="59" t="inlineStr">
        <is>
          <t>FMCG</t>
        </is>
      </c>
      <c r="D23" s="59" t="inlineStr">
        <is>
          <t>CCL</t>
        </is>
      </c>
      <c r="E23" s="59" t="n"/>
      <c r="F23" s="60" t="n">
        <v>45736</v>
      </c>
      <c r="G23" s="61" t="n">
        <v>554</v>
      </c>
      <c r="H23" s="61">
        <f>IFERROR(xlookup(B23,liveprices!$a:$a,liveprices!$d:$d),1112)</f>
        <v/>
      </c>
      <c r="I23" s="64" t="n">
        <v>1</v>
      </c>
      <c r="J23" s="64">
        <f>IF(G23=0,"",(H23-G23)/G23)</f>
        <v/>
      </c>
      <c r="K23" s="58" t="inlineStr">
        <is>
          <t>3%</t>
        </is>
      </c>
      <c r="L23" s="66" t="inlineStr">
        <is>
          <t>Buy</t>
        </is>
      </c>
      <c r="M23" s="72" t="n"/>
      <c r="N23" s="72" t="n"/>
      <c r="O23" s="60" t="n">
        <v>46175</v>
      </c>
      <c r="P23" s="72" t="n"/>
      <c r="Q23" s="59" t="n"/>
    </row>
    <row r="24" ht="15" customHeight="1" s="44">
      <c r="A24" s="71" t="inlineStr">
        <is>
          <t>Emerging Titans</t>
        </is>
      </c>
      <c r="B24" s="50" t="inlineStr">
        <is>
          <t>Tara Chand Infra Solution</t>
        </is>
      </c>
      <c r="C24" s="50" t="inlineStr">
        <is>
          <t>Infrastructure &amp; Real Estate</t>
        </is>
      </c>
      <c r="D24" s="50" t="inlineStr">
        <is>
          <t>TARACHAND</t>
        </is>
      </c>
      <c r="E24" s="50" t="n"/>
      <c r="F24" s="53" t="n">
        <v>45736</v>
      </c>
      <c r="G24" s="54" t="n">
        <v>58.3</v>
      </c>
      <c r="H24" s="54">
        <f>IFERROR(xlookup(B24,liveprices!$a:$a,liveprices!$d:$d),65.8)</f>
        <v/>
      </c>
      <c r="I24" s="57" t="n">
        <v>0.128</v>
      </c>
      <c r="J24" s="57">
        <f>IF(G24=0,"",(H24-G24)/G24)</f>
        <v/>
      </c>
      <c r="K24" s="52" t="inlineStr">
        <is>
          <t>5%</t>
        </is>
      </c>
      <c r="L24" s="65" t="inlineStr">
        <is>
          <t>Buy</t>
        </is>
      </c>
      <c r="M24" s="72" t="n"/>
      <c r="N24" s="72" t="n"/>
      <c r="O24" s="53" t="n">
        <v>46175</v>
      </c>
      <c r="P24" s="72" t="n"/>
      <c r="Q24" s="50" t="n"/>
    </row>
    <row r="25" ht="15" customHeight="1" s="44">
      <c r="A25" s="73" t="inlineStr">
        <is>
          <t>Emerging Titans</t>
        </is>
      </c>
      <c r="B25" s="59" t="inlineStr">
        <is>
          <t>Mac Power CNC Machines Ltd</t>
        </is>
      </c>
      <c r="C25" s="59" t="inlineStr">
        <is>
          <t>Engineering</t>
        </is>
      </c>
      <c r="D25" s="59" t="inlineStr">
        <is>
          <t>MACPOWER</t>
        </is>
      </c>
      <c r="E25" s="59" t="n"/>
      <c r="F25" s="60" t="n">
        <v>45727</v>
      </c>
      <c r="G25" s="61" t="n">
        <v>689</v>
      </c>
      <c r="H25" s="61">
        <f>IFERROR(xlookup(B25,liveprices!$a:$a,liveprices!$d:$d),1148)</f>
        <v/>
      </c>
      <c r="I25" s="64" t="n">
        <v>0.667</v>
      </c>
      <c r="J25" s="64">
        <f>IF(G25=0,"",(H25-G25)/G25)</f>
        <v/>
      </c>
      <c r="K25" s="58" t="inlineStr">
        <is>
          <t>3%</t>
        </is>
      </c>
      <c r="L25" s="66" t="inlineStr">
        <is>
          <t>Buy</t>
        </is>
      </c>
      <c r="M25" s="72" t="n"/>
      <c r="N25" s="72" t="n"/>
      <c r="O25" s="60" t="n">
        <v>46175</v>
      </c>
      <c r="P25" s="72" t="n"/>
      <c r="Q25" s="59" t="n"/>
    </row>
    <row r="26" ht="15" customHeight="1" s="44">
      <c r="A26" s="71" t="inlineStr">
        <is>
          <t>Emerging Titans</t>
        </is>
      </c>
      <c r="B26" s="50" t="inlineStr">
        <is>
          <t>Paushak Ltd</t>
        </is>
      </c>
      <c r="C26" s="50" t="inlineStr">
        <is>
          <t>Chemical</t>
        </is>
      </c>
      <c r="D26" s="50" t="n"/>
      <c r="E26" s="50" t="inlineStr">
        <is>
          <t>532742</t>
        </is>
      </c>
      <c r="F26" s="53" t="n">
        <v>45727</v>
      </c>
      <c r="G26" s="54" t="n">
        <v>521</v>
      </c>
      <c r="H26" s="54">
        <f>IFERROR(xlookup(B26,liveprices!$a:$a,liveprices!$d:$d),481)</f>
        <v/>
      </c>
      <c r="I26" s="57" t="n">
        <v>-0.076</v>
      </c>
      <c r="J26" s="57">
        <f>IF(G26=0,"",(H26-G26)/G26)</f>
        <v/>
      </c>
      <c r="K26" s="52" t="inlineStr">
        <is>
          <t>3%</t>
        </is>
      </c>
      <c r="L26" s="65" t="inlineStr">
        <is>
          <t>Buy</t>
        </is>
      </c>
      <c r="M26" s="72" t="n"/>
      <c r="N26" s="72" t="n"/>
      <c r="O26" s="53" t="n">
        <v>46175</v>
      </c>
      <c r="P26" s="72" t="n"/>
      <c r="Q26" s="50" t="n"/>
    </row>
    <row r="27" ht="15" customHeight="1" s="44">
      <c r="A27" s="73" t="inlineStr">
        <is>
          <t>Emerging Titans</t>
        </is>
      </c>
      <c r="B27" s="59" t="inlineStr">
        <is>
          <t>P N Gadgil Jewellers Ltd</t>
        </is>
      </c>
      <c r="C27" s="59" t="inlineStr">
        <is>
          <t>Diamond, Gems and Jewelry</t>
        </is>
      </c>
      <c r="D27" s="59" t="inlineStr">
        <is>
          <t>PNGJL</t>
        </is>
      </c>
      <c r="E27" s="59" t="n"/>
      <c r="F27" s="60" t="n">
        <v>45726</v>
      </c>
      <c r="G27" s="61" t="n">
        <v>543.6</v>
      </c>
      <c r="H27" s="61">
        <f>IFERROR(xlookup(B27,liveprices!$a:$a,liveprices!$d:$d),670)</f>
        <v/>
      </c>
      <c r="I27" s="64" t="n">
        <v>0.232</v>
      </c>
      <c r="J27" s="64">
        <f>IF(G27=0,"",(H27-G27)/G27)</f>
        <v/>
      </c>
      <c r="K27" s="58" t="inlineStr">
        <is>
          <t>5%</t>
        </is>
      </c>
      <c r="L27" s="66" t="inlineStr">
        <is>
          <t>Buy</t>
        </is>
      </c>
      <c r="M27" s="72" t="n"/>
      <c r="N27" s="72" t="n"/>
      <c r="O27" s="60" t="n">
        <v>46175</v>
      </c>
      <c r="P27" s="72" t="n"/>
      <c r="Q27" s="59" t="n"/>
    </row>
    <row r="28" ht="15" customHeight="1" s="44">
      <c r="A28" s="71" t="inlineStr">
        <is>
          <t>Emerging Titans</t>
        </is>
      </c>
      <c r="B28" s="50" t="inlineStr">
        <is>
          <t>Shivalik Bi Metals Ltd</t>
        </is>
      </c>
      <c r="C28" s="50" t="inlineStr">
        <is>
          <t>Ferrous &amp; Non Ferrous Metals</t>
        </is>
      </c>
      <c r="D28" s="50" t="inlineStr">
        <is>
          <t>SBCL</t>
        </is>
      </c>
      <c r="E28" s="50" t="n"/>
      <c r="F28" s="53" t="n">
        <v>45726</v>
      </c>
      <c r="G28" s="54" t="n">
        <v>474</v>
      </c>
      <c r="H28" s="54">
        <f>IFERROR(xlookup(B28,liveprices!$a:$a,liveprices!$d:$d),530)</f>
        <v/>
      </c>
      <c r="I28" s="57" t="n">
        <v>0.122</v>
      </c>
      <c r="J28" s="57">
        <f>IF(G28=0,"",(H28-G28)/G28)</f>
        <v/>
      </c>
      <c r="K28" s="52" t="inlineStr">
        <is>
          <t>3%</t>
        </is>
      </c>
      <c r="L28" s="65" t="inlineStr">
        <is>
          <t>Buy</t>
        </is>
      </c>
      <c r="M28" s="72" t="n"/>
      <c r="N28" s="72" t="n"/>
      <c r="O28" s="53" t="n">
        <v>46175</v>
      </c>
      <c r="P28" s="72" t="n"/>
      <c r="Q28" s="50" t="n"/>
    </row>
    <row r="29" ht="15" customHeight="1" s="44">
      <c r="A29" s="73" t="inlineStr">
        <is>
          <t>Emerging Titans</t>
        </is>
      </c>
      <c r="B29" s="59" t="inlineStr">
        <is>
          <t>S G Finserve Ltd</t>
        </is>
      </c>
      <c r="C29" s="59" t="inlineStr">
        <is>
          <t>Finance</t>
        </is>
      </c>
      <c r="D29" s="59" t="inlineStr">
        <is>
          <t>SGFIN</t>
        </is>
      </c>
      <c r="E29" s="59" t="n"/>
      <c r="F29" s="60" t="n">
        <v>45726</v>
      </c>
      <c r="G29" s="61" t="n">
        <v>343</v>
      </c>
      <c r="H29" s="61">
        <f>IFERROR(xlookup(B29,liveprices!$a:$a,liveprices!$d:$d),547)</f>
        <v/>
      </c>
      <c r="I29" s="64" t="n">
        <v>0.59</v>
      </c>
      <c r="J29" s="64">
        <f>IF(G29=0,"",(H29-G29)/G29)</f>
        <v/>
      </c>
      <c r="K29" s="58" t="inlineStr">
        <is>
          <t>5%</t>
        </is>
      </c>
      <c r="L29" s="66" t="inlineStr">
        <is>
          <t>Buy</t>
        </is>
      </c>
      <c r="M29" s="72" t="n"/>
      <c r="N29" s="72" t="n"/>
      <c r="O29" s="60" t="n">
        <v>46175</v>
      </c>
      <c r="P29" s="72" t="n"/>
      <c r="Q29" s="59" t="n"/>
    </row>
    <row r="30" ht="15" customHeight="1" s="44">
      <c r="A30" s="74" t="inlineStr">
        <is>
          <t>Tiny Titans</t>
        </is>
      </c>
      <c r="B30" s="50" t="inlineStr">
        <is>
          <t>Maiden Forging</t>
        </is>
      </c>
      <c r="C30" s="50" t="inlineStr">
        <is>
          <t>Forging</t>
        </is>
      </c>
      <c r="D30" s="50" t="n"/>
      <c r="E30" s="50" t="inlineStr">
        <is>
          <t>543874</t>
        </is>
      </c>
      <c r="F30" s="53" t="n">
        <v>46120</v>
      </c>
      <c r="G30" s="54" t="n">
        <v>74.5</v>
      </c>
      <c r="H30" s="54">
        <f>IFERROR(xlookup(B30,liveprices!$a:$a,liveprices!$d:$d),86)</f>
        <v/>
      </c>
      <c r="I30" s="57" t="n">
        <v>0.154</v>
      </c>
      <c r="J30" s="57">
        <f>IF(G30=0,"",(H30-G30)/G30)</f>
        <v/>
      </c>
      <c r="K30" s="52" t="inlineStr">
        <is>
          <t>3/5</t>
        </is>
      </c>
      <c r="L30" s="65" t="inlineStr">
        <is>
          <t>Buy</t>
        </is>
      </c>
      <c r="M30" s="72" t="n"/>
      <c r="N30" s="72" t="n"/>
      <c r="O30" s="53" t="n">
        <v>46175</v>
      </c>
      <c r="P30" s="72" t="n"/>
      <c r="Q30" s="50" t="n"/>
    </row>
    <row r="31" ht="15" customHeight="1" s="44">
      <c r="A31" s="75" t="inlineStr">
        <is>
          <t>Tiny Titans</t>
        </is>
      </c>
      <c r="B31" s="59" t="inlineStr">
        <is>
          <t>PNGS Gargi Fashion Jewellery Ltd</t>
        </is>
      </c>
      <c r="C31" s="59" t="inlineStr">
        <is>
          <t>Jewellery</t>
        </is>
      </c>
      <c r="D31" s="59" t="n"/>
      <c r="E31" s="59" t="inlineStr">
        <is>
          <t>543709</t>
        </is>
      </c>
      <c r="F31" s="60" t="n">
        <v>46043</v>
      </c>
      <c r="G31" s="61" t="n">
        <v>968</v>
      </c>
      <c r="H31" s="61">
        <f>IFERROR(xlookup(B31,liveprices!$a:$a,liveprices!$d:$d),863)</f>
        <v/>
      </c>
      <c r="I31" s="64" t="n">
        <v>-0.108</v>
      </c>
      <c r="J31" s="64">
        <f>IF(G31=0,"",(H31-G31)/G31)</f>
        <v/>
      </c>
      <c r="K31" s="58" t="inlineStr">
        <is>
          <t>4/5</t>
        </is>
      </c>
      <c r="L31" s="66" t="inlineStr">
        <is>
          <t>Buy</t>
        </is>
      </c>
      <c r="M31" s="72" t="n"/>
      <c r="N31" s="72" t="n"/>
      <c r="O31" s="60" t="n">
        <v>46175</v>
      </c>
      <c r="P31" s="72" t="n"/>
      <c r="Q31" s="59" t="n"/>
    </row>
    <row r="32" ht="15" customHeight="1" s="44">
      <c r="A32" s="74" t="inlineStr">
        <is>
          <t>Tiny Titans</t>
        </is>
      </c>
      <c r="B32" s="50" t="inlineStr">
        <is>
          <t>Patil Automation Ltd</t>
        </is>
      </c>
      <c r="C32" s="50" t="inlineStr">
        <is>
          <t>Automation</t>
        </is>
      </c>
      <c r="D32" s="50" t="n"/>
      <c r="E32" s="50" t="n"/>
      <c r="F32" s="53" t="n">
        <v>46038</v>
      </c>
      <c r="G32" s="54" t="n">
        <v>162</v>
      </c>
      <c r="H32" s="54">
        <f>IFERROR(xlookup(B32,liveprices!$a:$a,liveprices!$d:$d),156)</f>
        <v/>
      </c>
      <c r="I32" s="57" t="n">
        <v>-0.037</v>
      </c>
      <c r="J32" s="57">
        <f>IF(G32=0,"",(H32-G32)/G32)</f>
        <v/>
      </c>
      <c r="K32" s="52" t="inlineStr">
        <is>
          <t>3/5</t>
        </is>
      </c>
      <c r="L32" s="65" t="inlineStr">
        <is>
          <t>Buy</t>
        </is>
      </c>
      <c r="M32" s="72" t="n"/>
      <c r="N32" s="72" t="n"/>
      <c r="O32" s="53" t="n">
        <v>46175</v>
      </c>
      <c r="P32" s="72" t="n"/>
      <c r="Q32" s="50" t="n"/>
    </row>
    <row r="33" ht="15" customHeight="1" s="44">
      <c r="A33" s="75" t="inlineStr">
        <is>
          <t>Tiny Titans</t>
        </is>
      </c>
      <c r="B33" s="59" t="inlineStr">
        <is>
          <t>Airfloa Rail Technology Ltd</t>
        </is>
      </c>
      <c r="C33" s="59" t="inlineStr">
        <is>
          <t>Railway</t>
        </is>
      </c>
      <c r="D33" s="59" t="inlineStr">
        <is>
          <t>AIRFLOA</t>
        </is>
      </c>
      <c r="E33" s="59" t="n"/>
      <c r="F33" s="60" t="n">
        <v>46034</v>
      </c>
      <c r="G33" s="61" t="n">
        <v>295</v>
      </c>
      <c r="H33" s="61">
        <f>IFERROR(xlookup(B33,liveprices!$a:$a,liveprices!$d:$d),329)</f>
        <v/>
      </c>
      <c r="I33" s="64" t="n">
        <v>0.115</v>
      </c>
      <c r="J33" s="64">
        <f>IF(G33=0,"",(H33-G33)/G33)</f>
        <v/>
      </c>
      <c r="K33" s="58" t="inlineStr">
        <is>
          <t>4/5</t>
        </is>
      </c>
      <c r="L33" s="66" t="inlineStr">
        <is>
          <t>Buy</t>
        </is>
      </c>
      <c r="M33" s="72" t="n"/>
      <c r="N33" s="72" t="n"/>
      <c r="O33" s="60" t="n">
        <v>46175</v>
      </c>
      <c r="P33" s="72" t="n"/>
      <c r="Q33" s="59" t="n"/>
    </row>
    <row r="34" ht="15" customHeight="1" s="44">
      <c r="A34" s="74" t="inlineStr">
        <is>
          <t>Tiny Titans</t>
        </is>
      </c>
      <c r="B34" s="50" t="inlineStr">
        <is>
          <t>Sat Kartar Shopping Ltd</t>
        </is>
      </c>
      <c r="C34" s="50" t="inlineStr">
        <is>
          <t>Health Care</t>
        </is>
      </c>
      <c r="D34" s="50" t="inlineStr">
        <is>
          <t>SATKARTAR</t>
        </is>
      </c>
      <c r="E34" s="50" t="n"/>
      <c r="F34" s="53" t="n">
        <v>46003</v>
      </c>
      <c r="G34" s="54" t="n">
        <v>160</v>
      </c>
      <c r="H34" s="54">
        <f>IFERROR(xlookup(B34,liveprices!$a:$a,liveprices!$d:$d),207)</f>
        <v/>
      </c>
      <c r="I34" s="57" t="n">
        <v>0.293</v>
      </c>
      <c r="J34" s="57">
        <f>IF(G34=0,"",(H34-G34)/G34)</f>
        <v/>
      </c>
      <c r="K34" s="52" t="inlineStr">
        <is>
          <t>3/5</t>
        </is>
      </c>
      <c r="L34" s="65" t="inlineStr">
        <is>
          <t>Buy</t>
        </is>
      </c>
      <c r="M34" s="72" t="n"/>
      <c r="N34" s="72" t="n"/>
      <c r="O34" s="53" t="n">
        <v>46175</v>
      </c>
      <c r="P34" s="72" t="n"/>
      <c r="Q34" s="50" t="n"/>
    </row>
    <row r="35" ht="15" customHeight="1" s="44">
      <c r="A35" s="75" t="inlineStr">
        <is>
          <t>Tiny Titans</t>
        </is>
      </c>
      <c r="B35" s="59" t="inlineStr">
        <is>
          <t>Z-Tech</t>
        </is>
      </c>
      <c r="C35" s="59" t="inlineStr">
        <is>
          <t>Waste management and recycling</t>
        </is>
      </c>
      <c r="D35" s="59" t="inlineStr">
        <is>
          <t>ZTECH</t>
        </is>
      </c>
      <c r="E35" s="59" t="n"/>
      <c r="F35" s="60" t="n">
        <v>45999</v>
      </c>
      <c r="G35" s="61" t="n">
        <v>515</v>
      </c>
      <c r="H35" s="61">
        <f>IFERROR(xlookup(B35,liveprices!$a:$a,liveprices!$d:$d),601)</f>
        <v/>
      </c>
      <c r="I35" s="64" t="n">
        <v>0.167</v>
      </c>
      <c r="J35" s="64">
        <f>IF(G35=0,"",(H35-G35)/G35)</f>
        <v/>
      </c>
      <c r="K35" s="58" t="inlineStr">
        <is>
          <t>3/5</t>
        </is>
      </c>
      <c r="L35" s="66" t="inlineStr">
        <is>
          <t>Buy</t>
        </is>
      </c>
      <c r="M35" s="72" t="n"/>
      <c r="N35" s="72" t="n"/>
      <c r="O35" s="60" t="n">
        <v>46175</v>
      </c>
      <c r="P35" s="72" t="n"/>
      <c r="Q35" s="59" t="n"/>
    </row>
    <row r="36" ht="15" customHeight="1" s="44">
      <c r="A36" s="74" t="inlineStr">
        <is>
          <t>Tiny Titans</t>
        </is>
      </c>
      <c r="B36" s="50" t="inlineStr">
        <is>
          <t>Sealmatic India Ltd</t>
        </is>
      </c>
      <c r="C36" s="50" t="inlineStr">
        <is>
          <t>Engineering</t>
        </is>
      </c>
      <c r="D36" s="50" t="n"/>
      <c r="E36" s="50" t="inlineStr">
        <is>
          <t>543782</t>
        </is>
      </c>
      <c r="F36" s="53" t="n">
        <v>45950</v>
      </c>
      <c r="G36" s="54" t="n">
        <v>395.8</v>
      </c>
      <c r="H36" s="54">
        <f>IFERROR(xlookup(B36,liveprices!$a:$a,liveprices!$d:$d),430)</f>
        <v/>
      </c>
      <c r="I36" s="57" t="n">
        <v>0.08799999999999999</v>
      </c>
      <c r="J36" s="57">
        <f>IF(G36=0,"",(H36-G36)/G36)</f>
        <v/>
      </c>
      <c r="K36" s="52" t="inlineStr">
        <is>
          <t>3/5</t>
        </is>
      </c>
      <c r="L36" s="65" t="inlineStr">
        <is>
          <t>Buy</t>
        </is>
      </c>
      <c r="M36" s="72" t="n"/>
      <c r="N36" s="72" t="n"/>
      <c r="O36" s="53" t="n">
        <v>46175</v>
      </c>
      <c r="P36" s="72" t="n"/>
      <c r="Q36" s="50" t="n"/>
    </row>
    <row r="37" ht="15" customHeight="1" s="44">
      <c r="A37" s="75" t="inlineStr">
        <is>
          <t>Tiny Titans</t>
        </is>
      </c>
      <c r="B37" s="59" t="inlineStr">
        <is>
          <t>CFF Fluid Control Ltd</t>
        </is>
      </c>
      <c r="C37" s="59" t="inlineStr">
        <is>
          <t>Defence</t>
        </is>
      </c>
      <c r="D37" s="59" t="n"/>
      <c r="E37" s="59" t="inlineStr">
        <is>
          <t>543920</t>
        </is>
      </c>
      <c r="F37" s="60" t="n">
        <v>45944</v>
      </c>
      <c r="G37" s="61" t="n">
        <v>617</v>
      </c>
      <c r="H37" s="61">
        <f>IFERROR(xlookup(B37,liveprices!$a:$a,liveprices!$d:$d),770)</f>
        <v/>
      </c>
      <c r="I37" s="64" t="n">
        <v>0.248</v>
      </c>
      <c r="J37" s="64">
        <f>IF(G37=0,"",(H37-G37)/G37)</f>
        <v/>
      </c>
      <c r="K37" s="58" t="inlineStr">
        <is>
          <t>3/5</t>
        </is>
      </c>
      <c r="L37" s="66" t="inlineStr">
        <is>
          <t>Buy</t>
        </is>
      </c>
      <c r="M37" s="72" t="n"/>
      <c r="N37" s="72" t="n"/>
      <c r="O37" s="60" t="n">
        <v>46175</v>
      </c>
      <c r="P37" s="72" t="n"/>
      <c r="Q37" s="59" t="n"/>
    </row>
    <row r="38" ht="15" customHeight="1" s="44">
      <c r="A38" s="74" t="inlineStr">
        <is>
          <t>Tiny Titans</t>
        </is>
      </c>
      <c r="B38" s="50" t="inlineStr">
        <is>
          <t>Sathlokhar Synergys E&amp;C</t>
        </is>
      </c>
      <c r="C38" s="50" t="inlineStr">
        <is>
          <t>Infrastructure &amp; Real Estate</t>
        </is>
      </c>
      <c r="D38" s="50" t="inlineStr">
        <is>
          <t>SSEGL</t>
        </is>
      </c>
      <c r="E38" s="50" t="n"/>
      <c r="F38" s="53" t="n">
        <v>45943</v>
      </c>
      <c r="G38" s="54" t="n">
        <v>465</v>
      </c>
      <c r="H38" s="54">
        <f>IFERROR(xlookup(B38,liveprices!$a:$a,liveprices!$d:$d),409)</f>
        <v/>
      </c>
      <c r="I38" s="57" t="n">
        <v>-0.12</v>
      </c>
      <c r="J38" s="57">
        <f>IF(G38=0,"",(H38-G38)/G38)</f>
        <v/>
      </c>
      <c r="K38" s="52" t="inlineStr">
        <is>
          <t>3/5</t>
        </is>
      </c>
      <c r="L38" s="65" t="inlineStr">
        <is>
          <t>Buy</t>
        </is>
      </c>
      <c r="M38" s="72" t="n"/>
      <c r="N38" s="72" t="n"/>
      <c r="O38" s="53" t="n">
        <v>46175</v>
      </c>
      <c r="P38" s="72" t="n"/>
      <c r="Q38" s="50" t="n"/>
    </row>
    <row r="39" ht="15" customHeight="1" s="44">
      <c r="A39" s="75" t="inlineStr">
        <is>
          <t>Tiny Titans</t>
        </is>
      </c>
      <c r="B39" s="59" t="inlineStr">
        <is>
          <t>Aluwind Infra-Tech Ltd</t>
        </is>
      </c>
      <c r="C39" s="59" t="inlineStr">
        <is>
          <t>Ferrous &amp; Non Ferrous Metals</t>
        </is>
      </c>
      <c r="D39" s="59" t="inlineStr">
        <is>
          <t>ALUWIND</t>
        </is>
      </c>
      <c r="E39" s="59" t="n"/>
      <c r="F39" s="60" t="n">
        <v>45943</v>
      </c>
      <c r="G39" s="61" t="n">
        <v>87</v>
      </c>
      <c r="H39" s="61">
        <f>IFERROR(xlookup(B39,liveprices!$a:$a,liveprices!$d:$d),57)</f>
        <v/>
      </c>
      <c r="I39" s="64" t="n">
        <v>-0.344</v>
      </c>
      <c r="J39" s="64">
        <f>IF(G39=0,"",(H39-G39)/G39)</f>
        <v/>
      </c>
      <c r="K39" s="58" t="inlineStr">
        <is>
          <t>3/5</t>
        </is>
      </c>
      <c r="L39" s="66" t="inlineStr">
        <is>
          <t>Buy</t>
        </is>
      </c>
      <c r="M39" s="72" t="n"/>
      <c r="N39" s="72" t="n"/>
      <c r="O39" s="60" t="n">
        <v>46175</v>
      </c>
      <c r="P39" s="72" t="n"/>
      <c r="Q39" s="59" t="n"/>
    </row>
    <row r="40" ht="15" customHeight="1" s="44">
      <c r="A40" s="74" t="inlineStr">
        <is>
          <t>Tiny Titans</t>
        </is>
      </c>
      <c r="B40" s="50" t="inlineStr">
        <is>
          <t>Danish Power Ltd</t>
        </is>
      </c>
      <c r="C40" s="50" t="inlineStr">
        <is>
          <t>Power</t>
        </is>
      </c>
      <c r="D40" s="50" t="inlineStr">
        <is>
          <t>DANISH</t>
        </is>
      </c>
      <c r="E40" s="50" t="n"/>
      <c r="F40" s="53" t="n">
        <v>45908</v>
      </c>
      <c r="G40" s="54" t="n">
        <v>897</v>
      </c>
      <c r="H40" s="54">
        <f>IFERROR(xlookup(B40,liveprices!$a:$a,liveprices!$d:$d),866)</f>
        <v/>
      </c>
      <c r="I40" s="57" t="n">
        <v>-0.034</v>
      </c>
      <c r="J40" s="57">
        <f>IF(G40=0,"",(H40-G40)/G40)</f>
        <v/>
      </c>
      <c r="K40" s="52" t="inlineStr">
        <is>
          <t>4/5</t>
        </is>
      </c>
      <c r="L40" s="65" t="inlineStr">
        <is>
          <t>Buy</t>
        </is>
      </c>
      <c r="M40" s="72" t="n"/>
      <c r="N40" s="72" t="n"/>
      <c r="O40" s="53" t="n">
        <v>46175</v>
      </c>
      <c r="P40" s="72" t="n"/>
      <c r="Q40" s="50" t="n"/>
    </row>
    <row r="41" ht="15" customHeight="1" s="44">
      <c r="A41" s="75" t="inlineStr">
        <is>
          <t>Tiny Titans</t>
        </is>
      </c>
      <c r="B41" s="59" t="inlineStr">
        <is>
          <t>Wise Travel India Ltd</t>
        </is>
      </c>
      <c r="C41" s="59" t="inlineStr">
        <is>
          <t>Business Support</t>
        </is>
      </c>
      <c r="D41" s="59" t="inlineStr">
        <is>
          <t>WTICAB</t>
        </is>
      </c>
      <c r="E41" s="59" t="n"/>
      <c r="F41" s="60" t="n">
        <v>45895</v>
      </c>
      <c r="G41" s="61" t="n">
        <v>170</v>
      </c>
      <c r="H41" s="61">
        <f>IFERROR(xlookup(B41,liveprices!$a:$a,liveprices!$d:$d),106)</f>
        <v/>
      </c>
      <c r="I41" s="64" t="n">
        <v>-0.376</v>
      </c>
      <c r="J41" s="64">
        <f>IF(G41=0,"",(H41-G41)/G41)</f>
        <v/>
      </c>
      <c r="K41" s="58" t="inlineStr">
        <is>
          <t>3/5</t>
        </is>
      </c>
      <c r="L41" s="66" t="inlineStr">
        <is>
          <t>Buy</t>
        </is>
      </c>
      <c r="M41" s="72" t="n"/>
      <c r="N41" s="72" t="n"/>
      <c r="O41" s="60" t="n">
        <v>46175</v>
      </c>
      <c r="P41" s="72" t="n"/>
      <c r="Q41" s="59" t="n"/>
    </row>
    <row r="42" ht="15" customHeight="1" s="44">
      <c r="A42" s="74" t="inlineStr">
        <is>
          <t>Tiny Titans</t>
        </is>
      </c>
      <c r="B42" s="50" t="inlineStr">
        <is>
          <t>Infollion Research Services Ltd</t>
        </is>
      </c>
      <c r="C42" s="50" t="inlineStr">
        <is>
          <t>Business Support</t>
        </is>
      </c>
      <c r="D42" s="50" t="inlineStr">
        <is>
          <t>INFOLLION</t>
        </is>
      </c>
      <c r="E42" s="50" t="n"/>
      <c r="F42" s="53" t="n">
        <v>45895</v>
      </c>
      <c r="G42" s="54" t="n">
        <v>440</v>
      </c>
      <c r="H42" s="54">
        <f>IFERROR(xlookup(B42,liveprices!$a:$a,liveprices!$d:$d),245)</f>
        <v/>
      </c>
      <c r="I42" s="57" t="n">
        <v>-0.443</v>
      </c>
      <c r="J42" s="57">
        <f>IF(G42=0,"",(H42-G42)/G42)</f>
        <v/>
      </c>
      <c r="K42" s="52" t="inlineStr">
        <is>
          <t>4/5</t>
        </is>
      </c>
      <c r="L42" s="65" t="inlineStr">
        <is>
          <t>Buy</t>
        </is>
      </c>
      <c r="M42" s="72" t="n"/>
      <c r="N42" s="72" t="n"/>
      <c r="O42" s="53" t="n">
        <v>46175</v>
      </c>
      <c r="P42" s="72" t="n"/>
      <c r="Q42" s="50" t="n"/>
    </row>
  </sheetData>
  <autoFilter ref="A1:Q42"/>
  <conditionalFormatting sqref="I2:I42">
    <cfRule type="cellIs" rank="0" priority="2" equalAverage="0" operator="greaterThan" aboveAverage="0" dxfId="6" text="" percent="0" bottom="0">
      <formula>0</formula>
    </cfRule>
    <cfRule type="cellIs" rank="0" priority="3" equalAverage="0" operator="lessThan" aboveAverage="0" dxfId="7" text="" percent="0" bottom="0">
      <formula>0</formula>
    </cfRule>
  </conditionalFormatting>
  <conditionalFormatting sqref="J2:J42">
    <cfRule type="cellIs" rank="0" priority="4" equalAverage="0" operator="greaterThan" aboveAverage="0" dxfId="6" text="" percent="0" bottom="0">
      <formula>0</formula>
    </cfRule>
    <cfRule type="cellIs" rank="0" priority="5" equalAverage="0" operator="lessThan" aboveAverage="0" dxfId="7" text="" percent="0" bottom="0">
      <formula>0</formula>
    </cfRule>
  </conditionalFormatting>
  <conditionalFormatting sqref="M2:M42">
    <cfRule type="expression" rank="0" priority="6" equalAverage="0" aboveAverage="0" dxfId="11" text="" percent="0" bottom="0">
      <formula>OR($M2="Weakening",$M2="Broken")</formula>
    </cfRule>
    <cfRule type="expression" rank="0" priority="7" equalAverage="0" aboveAverage="0" dxfId="12" text="" percent="0" bottom="0">
      <formula>$M2="Watch"</formula>
    </cfRule>
    <cfRule type="expression" rank="0" priority="8" equalAverage="0" aboveAverage="0" dxfId="13" text="" percent="0" bottom="0">
      <formula>$M2="Strengthening"</formula>
    </cfRule>
  </conditionalFormatting>
  <conditionalFormatting sqref="O2:O42">
    <cfRule type="expression" rank="0" priority="9" equalAverage="0" aboveAverage="0" dxfId="11" text="" percent="0" bottom="0">
      <formula>AND($O2&lt;&gt;"",TODAY()-$O2&gt;90)</formula>
    </cfRule>
  </conditionalFormatting>
  <dataValidations count="2">
    <dataValidation sqref="M2:M42" showDropDown="0" showInputMessage="0" showErrorMessage="0" allowBlank="1" type="list" errorStyle="stop" operator="between">
      <formula1>"Strengthening,Stable,Watch,Weakening,Broken"</formula1>
      <formula2>0</formula2>
    </dataValidation>
    <dataValidation sqref="N2:N42" showDropDown="0" showInputMessage="0" showErrorMessage="0" allowBlank="1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43" min="1" max="1"/>
    <col width="34" customWidth="1" style="43" min="2" max="2"/>
    <col width="26" customWidth="1" style="43" min="3" max="3"/>
    <col width="8" customWidth="1" style="43" min="4" max="4"/>
    <col width="11" customWidth="1" style="43" min="5" max="6"/>
    <col width="12" customWidth="1" style="43" min="7" max="7"/>
    <col width="13" customWidth="1" style="43" min="8" max="8"/>
    <col width="12" customWidth="1" style="43" min="9" max="9"/>
    <col width="9" customWidth="1" style="43" min="10" max="10"/>
    <col width="10" customWidth="1" style="43" min="11" max="11"/>
    <col width="26" customWidth="1" style="43" min="13" max="13"/>
    <col width="13" customWidth="1" style="43" min="14" max="14"/>
    <col width="9" customWidth="1" style="43" min="15" max="15"/>
  </cols>
  <sheetData>
    <row r="1" ht="15" customHeight="1" s="44">
      <c r="A1" s="48" t="inlineStr">
        <is>
          <t>Portfolio</t>
        </is>
      </c>
      <c r="B1" s="48" t="inlineStr">
        <is>
          <t>Stock Name</t>
        </is>
      </c>
      <c r="C1" s="48" t="inlineStr">
        <is>
          <t>Sector</t>
        </is>
      </c>
      <c r="D1" s="48" t="inlineStr">
        <is>
          <t>Qty</t>
        </is>
      </c>
      <c r="E1" s="48" t="inlineStr">
        <is>
          <t>Avg Cost</t>
        </is>
      </c>
      <c r="F1" s="48" t="inlineStr">
        <is>
          <t>CMP</t>
        </is>
      </c>
      <c r="G1" s="48" t="inlineStr">
        <is>
          <t>Invested</t>
        </is>
      </c>
      <c r="H1" s="48" t="inlineStr">
        <is>
          <t>Mkt Value</t>
        </is>
      </c>
      <c r="I1" s="48" t="inlineStr">
        <is>
          <t>P&amp;L (Rs)</t>
        </is>
      </c>
      <c r="J1" s="48" t="inlineStr">
        <is>
          <t>P&amp;L %</t>
        </is>
      </c>
      <c r="K1" s="48" t="inlineStr">
        <is>
          <t>Weight %</t>
        </is>
      </c>
      <c r="M1" s="47" t="inlineStr">
        <is>
          <t>Max single-name weight</t>
        </is>
      </c>
      <c r="N1" s="76" t="n">
        <v>0.1</v>
      </c>
    </row>
    <row r="2" ht="15" customHeight="1" s="44">
      <c r="A2" s="71" t="inlineStr">
        <is>
          <t>Emerging Titans</t>
        </is>
      </c>
      <c r="B2" s="50" t="inlineStr">
        <is>
          <t>Techno Electric &amp; Engineering Ltd</t>
        </is>
      </c>
      <c r="C2" s="50" t="inlineStr">
        <is>
          <t>Power</t>
        </is>
      </c>
      <c r="D2" s="77" t="n">
        <v>100</v>
      </c>
      <c r="E2" s="78" t="n">
        <v>928.8099999999999</v>
      </c>
      <c r="F2" s="54">
        <f>IFERROR(XLOOKUP(B2,LivePrices!$A:$A,LivePrices!$D:$D),1065.8)</f>
        <v/>
      </c>
      <c r="G2" s="79">
        <f>D2*E2</f>
        <v/>
      </c>
      <c r="H2" s="79">
        <f>D2*F2</f>
        <v/>
      </c>
      <c r="I2" s="79">
        <f>H2-G2</f>
        <v/>
      </c>
      <c r="J2" s="80">
        <f>IF(G2=0,"",(H2-G2)/G2)</f>
        <v/>
      </c>
      <c r="K2" s="80">
        <f>IF($H$43=0,"",H2/$H$43)</f>
        <v/>
      </c>
      <c r="M2" s="47" t="inlineStr">
        <is>
          <t>Max sector weight</t>
        </is>
      </c>
      <c r="N2" s="76" t="n">
        <v>0.25</v>
      </c>
    </row>
    <row r="3" ht="15" customHeight="1" s="44">
      <c r="A3" s="73" t="inlineStr">
        <is>
          <t>Emerging Titans</t>
        </is>
      </c>
      <c r="B3" s="59" t="inlineStr">
        <is>
          <t>Oswal Pumps Ltd</t>
        </is>
      </c>
      <c r="C3" s="59" t="inlineStr">
        <is>
          <t>Capital Goods</t>
        </is>
      </c>
      <c r="D3" s="77" t="n"/>
      <c r="E3" s="78" t="n"/>
      <c r="F3" s="61">
        <f>IFERROR(xlookup(B3,liveprices!$a:$a,liveprices!$d:$d),362)</f>
        <v/>
      </c>
      <c r="G3" s="81">
        <f>D3*E3</f>
        <v/>
      </c>
      <c r="H3" s="81">
        <f>D3*F3</f>
        <v/>
      </c>
      <c r="I3" s="81">
        <f>H3-G3</f>
        <v/>
      </c>
      <c r="J3" s="82">
        <f>IF(G3=0,"",(H3-G3)/G3)</f>
        <v/>
      </c>
      <c r="K3" s="82">
        <f>IF($H$43=0,"",H3/$H$43)</f>
        <v/>
      </c>
    </row>
    <row r="4" ht="15" customHeight="1" s="44">
      <c r="A4" s="71" t="inlineStr">
        <is>
          <t>Emerging Titans</t>
        </is>
      </c>
      <c r="B4" s="50" t="inlineStr">
        <is>
          <t>PNGS Reva Diamond Jewellery Limited</t>
        </is>
      </c>
      <c r="C4" s="50" t="inlineStr">
        <is>
          <t>Jewellery</t>
        </is>
      </c>
      <c r="D4" s="77" t="n">
        <v>250</v>
      </c>
      <c r="E4" s="78" t="n">
        <v>378.8</v>
      </c>
      <c r="F4" s="54">
        <f>IFERROR(XLOOKUP(B4,LivePrices!$A:$A,LivePrices!$D:$D),376.1)</f>
        <v/>
      </c>
      <c r="G4" s="79">
        <f>D4*E4</f>
        <v/>
      </c>
      <c r="H4" s="79">
        <f>D4*F4</f>
        <v/>
      </c>
      <c r="I4" s="79">
        <f>H4-G4</f>
        <v/>
      </c>
      <c r="J4" s="80">
        <f>IF(G4=0,"",(H4-G4)/G4)</f>
        <v/>
      </c>
      <c r="K4" s="80">
        <f>IF($H$43=0,"",H4/$H$43)</f>
        <v/>
      </c>
      <c r="M4" s="83" t="inlineStr">
        <is>
          <t>Sector exposure</t>
        </is>
      </c>
    </row>
    <row r="5" ht="15" customHeight="1" s="44">
      <c r="A5" s="73" t="inlineStr">
        <is>
          <t>Emerging Titans</t>
        </is>
      </c>
      <c r="B5" s="59" t="inlineStr">
        <is>
          <t>HBL Engineering</t>
        </is>
      </c>
      <c r="C5" s="59" t="inlineStr">
        <is>
          <t>Railway</t>
        </is>
      </c>
      <c r="D5" s="77" t="n"/>
      <c r="E5" s="78" t="n"/>
      <c r="F5" s="61">
        <f>IFERROR(xlookup(B5,liveprices!$a:$a,liveprices!$d:$d),822)</f>
        <v/>
      </c>
      <c r="G5" s="81">
        <f>D5*E5</f>
        <v/>
      </c>
      <c r="H5" s="81">
        <f>D5*F5</f>
        <v/>
      </c>
      <c r="I5" s="81">
        <f>H5-G5</f>
        <v/>
      </c>
      <c r="J5" s="82">
        <f>IF(G5=0,"",(H5-G5)/G5)</f>
        <v/>
      </c>
      <c r="K5" s="82">
        <f>IF($H$43=0,"",H5/$H$43)</f>
        <v/>
      </c>
      <c r="M5" s="48" t="inlineStr">
        <is>
          <t>Sector</t>
        </is>
      </c>
      <c r="N5" s="48" t="inlineStr">
        <is>
          <t>Mkt Value</t>
        </is>
      </c>
      <c r="O5" s="48" t="inlineStr">
        <is>
          <t>% Port</t>
        </is>
      </c>
    </row>
    <row r="6" ht="15" customHeight="1" s="44">
      <c r="A6" s="71" t="inlineStr">
        <is>
          <t>Emerging Titans</t>
        </is>
      </c>
      <c r="B6" s="50" t="inlineStr">
        <is>
          <t>Centum Electronics Ltd</t>
        </is>
      </c>
      <c r="C6" s="50" t="inlineStr">
        <is>
          <t>Defence &amp; Electronics</t>
        </is>
      </c>
      <c r="D6" s="77" t="n">
        <v>40</v>
      </c>
      <c r="E6" s="78" t="n">
        <v>2749.85</v>
      </c>
      <c r="F6" s="54">
        <f>IFERROR(XLOOKUP(B6,LivePrices!$A:$A,LivePrices!$D:$D),3600.0)</f>
        <v/>
      </c>
      <c r="G6" s="79">
        <f>D6*E6</f>
        <v/>
      </c>
      <c r="H6" s="79">
        <f>D6*F6</f>
        <v/>
      </c>
      <c r="I6" s="79">
        <f>H6-G6</f>
        <v/>
      </c>
      <c r="J6" s="80">
        <f>IF(G6=0,"",(H6-G6)/G6)</f>
        <v/>
      </c>
      <c r="K6" s="80">
        <f>IF($H$43=0,"",H6/$H$43)</f>
        <v/>
      </c>
      <c r="M6" s="50" t="inlineStr">
        <is>
          <t>Power</t>
        </is>
      </c>
      <c r="N6" s="79">
        <f>SUMIF($C$2:$C$42,M6,$H$2:$H$42)</f>
        <v/>
      </c>
      <c r="O6" s="80">
        <f>IF($H$43=0,"",N6/$H$43)</f>
        <v/>
      </c>
    </row>
    <row r="7" ht="15" customHeight="1" s="44">
      <c r="A7" s="73" t="inlineStr">
        <is>
          <t>Emerging Titans</t>
        </is>
      </c>
      <c r="B7" s="59" t="inlineStr">
        <is>
          <t>SJS</t>
        </is>
      </c>
      <c r="C7" s="59" t="inlineStr">
        <is>
          <t>Auto</t>
        </is>
      </c>
      <c r="D7" s="77" t="n">
        <v>60</v>
      </c>
      <c r="E7" s="78" t="n">
        <v>1555.34</v>
      </c>
      <c r="F7" s="61">
        <f>IFERROR(XLOOKUP(B7,LivePrices!$A:$A,LivePrices!$D:$D),1993.0)</f>
        <v/>
      </c>
      <c r="G7" s="81">
        <f>D7*E7</f>
        <v/>
      </c>
      <c r="H7" s="81">
        <f>D7*F7</f>
        <v/>
      </c>
      <c r="I7" s="81">
        <f>H7-G7</f>
        <v/>
      </c>
      <c r="J7" s="82">
        <f>IF(G7=0,"",(H7-G7)/G7)</f>
        <v/>
      </c>
      <c r="K7" s="82">
        <f>IF($H$43=0,"",H7/$H$43)</f>
        <v/>
      </c>
      <c r="M7" s="59" t="inlineStr">
        <is>
          <t>Capital Goods</t>
        </is>
      </c>
      <c r="N7" s="81">
        <f>SUMIF($C$2:$C$42,M7,$H$2:$H$42)</f>
        <v/>
      </c>
      <c r="O7" s="82">
        <f>IF($H$43=0,"",N7/$H$43)</f>
        <v/>
      </c>
    </row>
    <row r="8" ht="15" customHeight="1" s="44">
      <c r="A8" s="71" t="inlineStr">
        <is>
          <t>Emerging Titans</t>
        </is>
      </c>
      <c r="B8" s="50" t="inlineStr">
        <is>
          <t>Narayana Hrudayalaya Ltd</t>
        </is>
      </c>
      <c r="C8" s="50" t="inlineStr">
        <is>
          <t>Hospitals</t>
        </is>
      </c>
      <c r="D8" s="77" t="n"/>
      <c r="E8" s="78" t="n"/>
      <c r="F8" s="54">
        <f>IFERROR(xlookup(B8,liveprices!$a:$a,liveprices!$d:$d),1799)</f>
        <v/>
      </c>
      <c r="G8" s="79">
        <f>D8*E8</f>
        <v/>
      </c>
      <c r="H8" s="79">
        <f>D8*F8</f>
        <v/>
      </c>
      <c r="I8" s="79">
        <f>H8-G8</f>
        <v/>
      </c>
      <c r="J8" s="80">
        <f>IF(G8=0,"",(H8-G8)/G8)</f>
        <v/>
      </c>
      <c r="K8" s="80">
        <f>IF($H$43=0,"",H8/$H$43)</f>
        <v/>
      </c>
      <c r="M8" s="50" t="inlineStr">
        <is>
          <t>Jewellery</t>
        </is>
      </c>
      <c r="N8" s="79">
        <f>SUMIF($C$2:$C$42,M8,$H$2:$H$42)</f>
        <v/>
      </c>
      <c r="O8" s="80">
        <f>IF($H$43=0,"",N8/$H$43)</f>
        <v/>
      </c>
    </row>
    <row r="9" ht="15" customHeight="1" s="44">
      <c r="A9" s="73" t="inlineStr">
        <is>
          <t>Emerging Titans</t>
        </is>
      </c>
      <c r="B9" s="59" t="inlineStr">
        <is>
          <t>Force Motors</t>
        </is>
      </c>
      <c r="C9" s="59" t="inlineStr">
        <is>
          <t>Auto</t>
        </is>
      </c>
      <c r="D9" s="77" t="n">
        <v>5</v>
      </c>
      <c r="E9" s="78" t="n">
        <v>20545.08</v>
      </c>
      <c r="F9" s="61">
        <f>IFERROR(XLOOKUP(B9,LivePrices!$A:$A,LivePrices!$D:$D),17833.0)</f>
        <v/>
      </c>
      <c r="G9" s="81">
        <f>D9*E9</f>
        <v/>
      </c>
      <c r="H9" s="81">
        <f>D9*F9</f>
        <v/>
      </c>
      <c r="I9" s="81">
        <f>H9-G9</f>
        <v/>
      </c>
      <c r="J9" s="82">
        <f>IF(G9=0,"",(H9-G9)/G9)</f>
        <v/>
      </c>
      <c r="K9" s="82">
        <f>IF($H$43=0,"",H9/$H$43)</f>
        <v/>
      </c>
      <c r="M9" s="59" t="inlineStr">
        <is>
          <t>Railway</t>
        </is>
      </c>
      <c r="N9" s="81">
        <f>SUMIF($C$2:$C$42,M9,$H$2:$H$42)</f>
        <v/>
      </c>
      <c r="O9" s="82">
        <f>IF($H$43=0,"",N9/$H$43)</f>
        <v/>
      </c>
    </row>
    <row r="10" ht="15" customHeight="1" s="44">
      <c r="A10" s="71" t="inlineStr">
        <is>
          <t>Emerging Titans</t>
        </is>
      </c>
      <c r="B10" s="50" t="inlineStr">
        <is>
          <t>Samhi Hotels</t>
        </is>
      </c>
      <c r="C10" s="50" t="inlineStr">
        <is>
          <t>Hotels</t>
        </is>
      </c>
      <c r="D10" s="77" t="n"/>
      <c r="E10" s="78" t="n"/>
      <c r="F10" s="54">
        <f>IFERROR(xlookup(B10,liveprices!$a:$a,liveprices!$d:$d),163.2)</f>
        <v/>
      </c>
      <c r="G10" s="79">
        <f>D10*E10</f>
        <v/>
      </c>
      <c r="H10" s="79">
        <f>D10*F10</f>
        <v/>
      </c>
      <c r="I10" s="79">
        <f>H10-G10</f>
        <v/>
      </c>
      <c r="J10" s="80">
        <f>IF(G10=0,"",(H10-G10)/G10)</f>
        <v/>
      </c>
      <c r="K10" s="80">
        <f>IF($H$43=0,"",H10/$H$43)</f>
        <v/>
      </c>
      <c r="M10" s="50" t="inlineStr">
        <is>
          <t>Defence &amp; Electronics</t>
        </is>
      </c>
      <c r="N10" s="79">
        <f>SUMIF($C$2:$C$42,M10,$H$2:$H$42)</f>
        <v/>
      </c>
      <c r="O10" s="80">
        <f>IF($H$43=0,"",N10/$H$43)</f>
        <v/>
      </c>
    </row>
    <row r="11" ht="15" customHeight="1" s="44">
      <c r="A11" s="73" t="inlineStr">
        <is>
          <t>Emerging Titans</t>
        </is>
      </c>
      <c r="B11" s="59" t="inlineStr">
        <is>
          <t>Gravita India Limited</t>
        </is>
      </c>
      <c r="C11" s="59" t="inlineStr">
        <is>
          <t>Recycling</t>
        </is>
      </c>
      <c r="D11" s="77" t="n"/>
      <c r="E11" s="78" t="n"/>
      <c r="F11" s="61">
        <f>IFERROR(xlookup(B11,liveprices!$a:$a,liveprices!$d:$d),1589)</f>
        <v/>
      </c>
      <c r="G11" s="81">
        <f>D11*E11</f>
        <v/>
      </c>
      <c r="H11" s="81">
        <f>D11*F11</f>
        <v/>
      </c>
      <c r="I11" s="81">
        <f>H11-G11</f>
        <v/>
      </c>
      <c r="J11" s="82">
        <f>IF(G11=0,"",(H11-G11)/G11)</f>
        <v/>
      </c>
      <c r="K11" s="82">
        <f>IF($H$43=0,"",H11/$H$43)</f>
        <v/>
      </c>
      <c r="M11" s="59" t="inlineStr">
        <is>
          <t>Auto</t>
        </is>
      </c>
      <c r="N11" s="81">
        <f>SUMIF($C$2:$C$42,M11,$H$2:$H$42)</f>
        <v/>
      </c>
      <c r="O11" s="82">
        <f>IF($H$43=0,"",N11/$H$43)</f>
        <v/>
      </c>
    </row>
    <row r="12" ht="15" customHeight="1" s="44">
      <c r="A12" s="71" t="inlineStr">
        <is>
          <t>Emerging Titans</t>
        </is>
      </c>
      <c r="B12" s="50" t="inlineStr">
        <is>
          <t>Timex Group</t>
        </is>
      </c>
      <c r="C12" s="50" t="inlineStr">
        <is>
          <t>Watches</t>
        </is>
      </c>
      <c r="D12" s="77" t="n"/>
      <c r="E12" s="78" t="n"/>
      <c r="F12" s="54">
        <f>IFERROR(xlookup(B12,liveprices!$a:$a,liveprices!$d:$d),336)</f>
        <v/>
      </c>
      <c r="G12" s="79">
        <f>D12*E12</f>
        <v/>
      </c>
      <c r="H12" s="79">
        <f>D12*F12</f>
        <v/>
      </c>
      <c r="I12" s="79">
        <f>H12-G12</f>
        <v/>
      </c>
      <c r="J12" s="80">
        <f>IF(G12=0,"",(H12-G12)/G12)</f>
        <v/>
      </c>
      <c r="K12" s="80">
        <f>IF($H$43=0,"",H12/$H$43)</f>
        <v/>
      </c>
      <c r="M12" s="50" t="inlineStr">
        <is>
          <t>Hospitals</t>
        </is>
      </c>
      <c r="N12" s="79">
        <f>SUMIF($C$2:$C$42,M12,$H$2:$H$42)</f>
        <v/>
      </c>
      <c r="O12" s="80">
        <f>IF($H$43=0,"",N12/$H$43)</f>
        <v/>
      </c>
    </row>
    <row r="13" ht="15" customHeight="1" s="44">
      <c r="A13" s="73" t="inlineStr">
        <is>
          <t>Emerging Titans</t>
        </is>
      </c>
      <c r="B13" s="59" t="inlineStr">
        <is>
          <t>Federal bank financial services</t>
        </is>
      </c>
      <c r="C13" s="59" t="inlineStr">
        <is>
          <t>NBFC</t>
        </is>
      </c>
      <c r="D13" s="77" t="n"/>
      <c r="E13" s="78" t="n"/>
      <c r="F13" s="61">
        <f>IFERROR(xlookup(B13,liveprices!$a:$a,liveprices!$d:$d),151)</f>
        <v/>
      </c>
      <c r="G13" s="81">
        <f>D13*E13</f>
        <v/>
      </c>
      <c r="H13" s="81">
        <f>D13*F13</f>
        <v/>
      </c>
      <c r="I13" s="81">
        <f>H13-G13</f>
        <v/>
      </c>
      <c r="J13" s="82">
        <f>IF(G13=0,"",(H13-G13)/G13)</f>
        <v/>
      </c>
      <c r="K13" s="82">
        <f>IF($H$43=0,"",H13/$H$43)</f>
        <v/>
      </c>
      <c r="M13" s="59" t="inlineStr">
        <is>
          <t>Hotels</t>
        </is>
      </c>
      <c r="N13" s="81">
        <f>SUMIF($C$2:$C$42,M13,$H$2:$H$42)</f>
        <v/>
      </c>
      <c r="O13" s="82">
        <f>IF($H$43=0,"",N13/$H$43)</f>
        <v/>
      </c>
    </row>
    <row r="14" ht="15" customHeight="1" s="44">
      <c r="A14" s="71" t="inlineStr">
        <is>
          <t>Emerging Titans</t>
        </is>
      </c>
      <c r="B14" s="50" t="inlineStr">
        <is>
          <t>Praveg Ltd</t>
        </is>
      </c>
      <c r="C14" s="50" t="inlineStr">
        <is>
          <t>Hospitality</t>
        </is>
      </c>
      <c r="D14" s="77" t="n">
        <v>450</v>
      </c>
      <c r="E14" s="78" t="n">
        <v>216.56</v>
      </c>
      <c r="F14" s="54">
        <f>IFERROR(XLOOKUP(B14,LivePrices!$A:$A,LivePrices!$D:$D),240.0)</f>
        <v/>
      </c>
      <c r="G14" s="79">
        <f>D14*E14</f>
        <v/>
      </c>
      <c r="H14" s="79">
        <f>D14*F14</f>
        <v/>
      </c>
      <c r="I14" s="79">
        <f>H14-G14</f>
        <v/>
      </c>
      <c r="J14" s="80">
        <f>IF(G14=0,"",(H14-G14)/G14)</f>
        <v/>
      </c>
      <c r="K14" s="80">
        <f>IF($H$43=0,"",H14/$H$43)</f>
        <v/>
      </c>
      <c r="M14" s="50" t="inlineStr">
        <is>
          <t>Recycling</t>
        </is>
      </c>
      <c r="N14" s="79">
        <f>SUMIF($C$2:$C$42,M14,$H$2:$H$42)</f>
        <v/>
      </c>
      <c r="O14" s="80">
        <f>IF($H$43=0,"",N14/$H$43)</f>
        <v/>
      </c>
    </row>
    <row r="15" ht="15" customHeight="1" s="44">
      <c r="A15" s="73" t="inlineStr">
        <is>
          <t>Emerging Titans</t>
        </is>
      </c>
      <c r="B15" s="59" t="inlineStr">
        <is>
          <t>Navkar Corporation Ltd</t>
        </is>
      </c>
      <c r="C15" s="59" t="inlineStr">
        <is>
          <t>Logistics Services</t>
        </is>
      </c>
      <c r="D15" s="77" t="n"/>
      <c r="E15" s="78" t="n"/>
      <c r="F15" s="61">
        <f>IFERROR(xlookup(B15,liveprices!$a:$a,liveprices!$d:$d),106)</f>
        <v/>
      </c>
      <c r="G15" s="81">
        <f>D15*E15</f>
        <v/>
      </c>
      <c r="H15" s="81">
        <f>D15*F15</f>
        <v/>
      </c>
      <c r="I15" s="81">
        <f>H15-G15</f>
        <v/>
      </c>
      <c r="J15" s="82">
        <f>IF(G15=0,"",(H15-G15)/G15)</f>
        <v/>
      </c>
      <c r="K15" s="82">
        <f>IF($H$43=0,"",H15/$H$43)</f>
        <v/>
      </c>
      <c r="M15" s="59" t="inlineStr">
        <is>
          <t>Watches</t>
        </is>
      </c>
      <c r="N15" s="81">
        <f>SUMIF($C$2:$C$42,M15,$H$2:$H$42)</f>
        <v/>
      </c>
      <c r="O15" s="82">
        <f>IF($H$43=0,"",N15/$H$43)</f>
        <v/>
      </c>
    </row>
    <row r="16" ht="15" customHeight="1" s="44">
      <c r="A16" s="71" t="inlineStr">
        <is>
          <t>Emerging Titans</t>
        </is>
      </c>
      <c r="B16" s="50" t="inlineStr">
        <is>
          <t>Indo Tech Transformers Ltd</t>
        </is>
      </c>
      <c r="C16" s="50" t="inlineStr">
        <is>
          <t>Power</t>
        </is>
      </c>
      <c r="D16" s="77" t="n">
        <v>75</v>
      </c>
      <c r="E16" s="78" t="n">
        <v>1246.75</v>
      </c>
      <c r="F16" s="54">
        <f>IFERROR(XLOOKUP(B16,LivePrices!$A:$A,LivePrices!$D:$D),2722.8)</f>
        <v/>
      </c>
      <c r="G16" s="79">
        <f>D16*E16</f>
        <v/>
      </c>
      <c r="H16" s="79">
        <f>D16*F16</f>
        <v/>
      </c>
      <c r="I16" s="79">
        <f>H16-G16</f>
        <v/>
      </c>
      <c r="J16" s="80">
        <f>IF(G16=0,"",(H16-G16)/G16)</f>
        <v/>
      </c>
      <c r="K16" s="80">
        <f>IF($H$43=0,"",H16/$H$43)</f>
        <v/>
      </c>
      <c r="M16" s="50" t="inlineStr">
        <is>
          <t>NBFC</t>
        </is>
      </c>
      <c r="N16" s="79">
        <f>SUMIF($C$2:$C$42,M16,$H$2:$H$42)</f>
        <v/>
      </c>
      <c r="O16" s="80">
        <f>IF($H$43=0,"",N16/$H$43)</f>
        <v/>
      </c>
    </row>
    <row r="17" ht="15" customHeight="1" s="44">
      <c r="A17" s="73" t="inlineStr">
        <is>
          <t>Emerging Titans</t>
        </is>
      </c>
      <c r="B17" s="59" t="inlineStr">
        <is>
          <t>Arkade Developers Ltd</t>
        </is>
      </c>
      <c r="C17" s="59" t="inlineStr">
        <is>
          <t>Infrastructure &amp; Real Estate</t>
        </is>
      </c>
      <c r="D17" s="77" t="n">
        <v>1000</v>
      </c>
      <c r="E17" s="78" t="n">
        <v>98.48</v>
      </c>
      <c r="F17" s="61">
        <f>IFERROR(XLOOKUP(B17,LivePrices!$A:$A,LivePrices!$D:$D),114.62)</f>
        <v/>
      </c>
      <c r="G17" s="81">
        <f>D17*E17</f>
        <v/>
      </c>
      <c r="H17" s="81">
        <f>D17*F17</f>
        <v/>
      </c>
      <c r="I17" s="81">
        <f>H17-G17</f>
        <v/>
      </c>
      <c r="J17" s="82">
        <f>IF(G17=0,"",(H17-G17)/G17)</f>
        <v/>
      </c>
      <c r="K17" s="82">
        <f>IF($H$43=0,"",H17/$H$43)</f>
        <v/>
      </c>
      <c r="M17" s="59" t="inlineStr">
        <is>
          <t>Hospitality</t>
        </is>
      </c>
      <c r="N17" s="81">
        <f>SUMIF($C$2:$C$42,M17,$H$2:$H$42)</f>
        <v/>
      </c>
      <c r="O17" s="82">
        <f>IF($H$43=0,"",N17/$H$43)</f>
        <v/>
      </c>
    </row>
    <row r="18" ht="15" customHeight="1" s="44">
      <c r="A18" s="71" t="inlineStr">
        <is>
          <t>Emerging Titans</t>
        </is>
      </c>
      <c r="B18" s="50" t="inlineStr">
        <is>
          <t>Sambhv Steel Tubes Ltd</t>
        </is>
      </c>
      <c r="C18" s="50" t="inlineStr">
        <is>
          <t>Ferrous &amp; Non Ferrous Metals</t>
        </is>
      </c>
      <c r="D18" s="77" t="n">
        <v>1100</v>
      </c>
      <c r="E18" s="78" t="n">
        <v>98.58</v>
      </c>
      <c r="F18" s="54">
        <f>IFERROR(XLOOKUP(B18,LivePrices!$A:$A,LivePrices!$D:$D),104.57)</f>
        <v/>
      </c>
      <c r="G18" s="79">
        <f>D18*E18</f>
        <v/>
      </c>
      <c r="H18" s="79">
        <f>D18*F18</f>
        <v/>
      </c>
      <c r="I18" s="79">
        <f>H18-G18</f>
        <v/>
      </c>
      <c r="J18" s="80">
        <f>IF(G18=0,"",(H18-G18)/G18)</f>
        <v/>
      </c>
      <c r="K18" s="80">
        <f>IF($H$43=0,"",H18/$H$43)</f>
        <v/>
      </c>
      <c r="M18" s="50" t="inlineStr">
        <is>
          <t>Logistics Services</t>
        </is>
      </c>
      <c r="N18" s="79">
        <f>SUMIF($C$2:$C$42,M18,$H$2:$H$42)</f>
        <v/>
      </c>
      <c r="O18" s="80">
        <f>IF($H$43=0,"",N18/$H$43)</f>
        <v/>
      </c>
    </row>
    <row r="19" ht="15" customHeight="1" s="44">
      <c r="A19" s="73" t="inlineStr">
        <is>
          <t>Emerging Titans</t>
        </is>
      </c>
      <c r="B19" s="59" t="inlineStr">
        <is>
          <t>India Shelter Finance</t>
        </is>
      </c>
      <c r="C19" s="59" t="inlineStr">
        <is>
          <t>Finance</t>
        </is>
      </c>
      <c r="D19" s="77" t="n">
        <v>100</v>
      </c>
      <c r="E19" s="78" t="n">
        <v>746.12</v>
      </c>
      <c r="F19" s="61">
        <f>IFERROR(XLOOKUP(B19,LivePrices!$A:$A,LivePrices!$D:$D),771.55)</f>
        <v/>
      </c>
      <c r="G19" s="81">
        <f>D19*E19</f>
        <v/>
      </c>
      <c r="H19" s="81">
        <f>D19*F19</f>
        <v/>
      </c>
      <c r="I19" s="81">
        <f>H19-G19</f>
        <v/>
      </c>
      <c r="J19" s="82">
        <f>IF(G19=0,"",(H19-G19)/G19)</f>
        <v/>
      </c>
      <c r="K19" s="82">
        <f>IF($H$43=0,"",H19/$H$43)</f>
        <v/>
      </c>
      <c r="M19" s="59" t="inlineStr">
        <is>
          <t>Infrastructure &amp; Real Estate</t>
        </is>
      </c>
      <c r="N19" s="81">
        <f>SUMIF($C$2:$C$42,M19,$H$2:$H$42)</f>
        <v/>
      </c>
      <c r="O19" s="82">
        <f>IF($H$43=0,"",N19/$H$43)</f>
        <v/>
      </c>
    </row>
    <row r="20" ht="15" customHeight="1" s="44">
      <c r="A20" s="71" t="inlineStr">
        <is>
          <t>Emerging Titans</t>
        </is>
      </c>
      <c r="B20" s="50" t="inlineStr">
        <is>
          <t>Kilburn Engineering</t>
        </is>
      </c>
      <c r="C20" s="50" t="inlineStr">
        <is>
          <t>Engineering</t>
        </is>
      </c>
      <c r="D20" s="77" t="n">
        <v>150</v>
      </c>
      <c r="E20" s="78" t="n">
        <v>400.74</v>
      </c>
      <c r="F20" s="54">
        <f>IFERROR(XLOOKUP(B20,LivePrices!$A:$A,LivePrices!$D:$D),495.95)</f>
        <v/>
      </c>
      <c r="G20" s="79">
        <f>D20*E20</f>
        <v/>
      </c>
      <c r="H20" s="79">
        <f>D20*F20</f>
        <v/>
      </c>
      <c r="I20" s="79">
        <f>H20-G20</f>
        <v/>
      </c>
      <c r="J20" s="80">
        <f>IF(G20=0,"",(H20-G20)/G20)</f>
        <v/>
      </c>
      <c r="K20" s="80">
        <f>IF($H$43=0,"",H20/$H$43)</f>
        <v/>
      </c>
      <c r="M20" s="50" t="inlineStr">
        <is>
          <t>Ferrous &amp; Non Ferrous Metals</t>
        </is>
      </c>
      <c r="N20" s="79">
        <f>SUMIF($C$2:$C$42,M20,$H$2:$H$42)</f>
        <v/>
      </c>
      <c r="O20" s="80">
        <f>IF($H$43=0,"",N20/$H$43)</f>
        <v/>
      </c>
    </row>
    <row r="21" ht="15" customHeight="1" s="44">
      <c r="A21" s="73" t="inlineStr">
        <is>
          <t>Emerging Titans</t>
        </is>
      </c>
      <c r="B21" s="59" t="inlineStr">
        <is>
          <t>PSP Projects</t>
        </is>
      </c>
      <c r="C21" s="59" t="inlineStr">
        <is>
          <t>Infrastructure &amp; Real Estate</t>
        </is>
      </c>
      <c r="D21" s="77" t="n">
        <v>100</v>
      </c>
      <c r="E21" s="78" t="n">
        <v>638.9</v>
      </c>
      <c r="F21" s="61">
        <f>IFERROR(XLOOKUP(B21,LivePrices!$A:$A,LivePrices!$D:$D),842.65)</f>
        <v/>
      </c>
      <c r="G21" s="81">
        <f>D21*E21</f>
        <v/>
      </c>
      <c r="H21" s="81">
        <f>D21*F21</f>
        <v/>
      </c>
      <c r="I21" s="81">
        <f>H21-G21</f>
        <v/>
      </c>
      <c r="J21" s="82">
        <f>IF(G21=0,"",(H21-G21)/G21)</f>
        <v/>
      </c>
      <c r="K21" s="82">
        <f>IF($H$43=0,"",H21/$H$43)</f>
        <v/>
      </c>
      <c r="M21" s="59" t="inlineStr">
        <is>
          <t>Finance</t>
        </is>
      </c>
      <c r="N21" s="81">
        <f>SUMIF($C$2:$C$42,M21,$H$2:$H$42)</f>
        <v/>
      </c>
      <c r="O21" s="82">
        <f>IF($H$43=0,"",N21/$H$43)</f>
        <v/>
      </c>
    </row>
    <row r="22" ht="15" customHeight="1" s="44">
      <c r="A22" s="71" t="inlineStr">
        <is>
          <t>Emerging Titans</t>
        </is>
      </c>
      <c r="B22" s="50" t="inlineStr">
        <is>
          <t>Frontier Spring</t>
        </is>
      </c>
      <c r="C22" s="50" t="inlineStr">
        <is>
          <t>Railway</t>
        </is>
      </c>
      <c r="D22" s="77" t="n">
        <v>75</v>
      </c>
      <c r="E22" s="78" t="n">
        <v>727.91</v>
      </c>
      <c r="F22" s="54">
        <f>IFERROR(XLOOKUP(B22,LivePrices!$A:$A,LivePrices!$D:$D),1560.0)</f>
        <v/>
      </c>
      <c r="G22" s="79">
        <f>D22*E22</f>
        <v/>
      </c>
      <c r="H22" s="79">
        <f>D22*F22</f>
        <v/>
      </c>
      <c r="I22" s="79">
        <f>H22-G22</f>
        <v/>
      </c>
      <c r="J22" s="80">
        <f>IF(G22=0,"",(H22-G22)/G22)</f>
        <v/>
      </c>
      <c r="K22" s="80">
        <f>IF($H$43=0,"",H22/$H$43)</f>
        <v/>
      </c>
      <c r="M22" s="50" t="inlineStr">
        <is>
          <t>Engineering</t>
        </is>
      </c>
      <c r="N22" s="79">
        <f>SUMIF($C$2:$C$42,M22,$H$2:$H$42)</f>
        <v/>
      </c>
      <c r="O22" s="80">
        <f>IF($H$43=0,"",N22/$H$43)</f>
        <v/>
      </c>
    </row>
    <row r="23" ht="15" customHeight="1" s="44">
      <c r="A23" s="73" t="inlineStr">
        <is>
          <t>Emerging Titans</t>
        </is>
      </c>
      <c r="B23" s="59" t="inlineStr">
        <is>
          <t>CCL Products (India) Ltd</t>
        </is>
      </c>
      <c r="C23" s="59" t="inlineStr">
        <is>
          <t>FMCG</t>
        </is>
      </c>
      <c r="D23" s="77" t="n">
        <v>110</v>
      </c>
      <c r="E23" s="78" t="n">
        <v>535.75</v>
      </c>
      <c r="F23" s="61">
        <f>IFERROR(XLOOKUP(B23,LivePrices!$A:$A,LivePrices!$D:$D),1073.0)</f>
        <v/>
      </c>
      <c r="G23" s="81">
        <f>D23*E23</f>
        <v/>
      </c>
      <c r="H23" s="81">
        <f>D23*F23</f>
        <v/>
      </c>
      <c r="I23" s="81">
        <f>H23-G23</f>
        <v/>
      </c>
      <c r="J23" s="82">
        <f>IF(G23=0,"",(H23-G23)/G23)</f>
        <v/>
      </c>
      <c r="K23" s="82">
        <f>IF($H$43=0,"",H23/$H$43)</f>
        <v/>
      </c>
      <c r="M23" s="59" t="inlineStr">
        <is>
          <t>FMCG</t>
        </is>
      </c>
      <c r="N23" s="81">
        <f>SUMIF($C$2:$C$42,M23,$H$2:$H$42)</f>
        <v/>
      </c>
      <c r="O23" s="82">
        <f>IF($H$43=0,"",N23/$H$43)</f>
        <v/>
      </c>
    </row>
    <row r="24" ht="15" customHeight="1" s="44">
      <c r="A24" s="71" t="inlineStr">
        <is>
          <t>Emerging Titans</t>
        </is>
      </c>
      <c r="B24" s="50" t="inlineStr">
        <is>
          <t>Tara Chand Infra Solution</t>
        </is>
      </c>
      <c r="C24" s="50" t="inlineStr">
        <is>
          <t>Infrastructure &amp; Real Estate</t>
        </is>
      </c>
      <c r="D24" s="77" t="n">
        <v>1579</v>
      </c>
      <c r="E24" s="78" t="n">
        <v>60.15</v>
      </c>
      <c r="F24" s="54">
        <f>IFERROR(XLOOKUP(B24,LivePrices!$A:$A,LivePrices!$D:$D),60.24)</f>
        <v/>
      </c>
      <c r="G24" s="79">
        <f>D24*E24</f>
        <v/>
      </c>
      <c r="H24" s="79">
        <f>D24*F24</f>
        <v/>
      </c>
      <c r="I24" s="79">
        <f>H24-G24</f>
        <v/>
      </c>
      <c r="J24" s="80">
        <f>IF(G24=0,"",(H24-G24)/G24)</f>
        <v/>
      </c>
      <c r="K24" s="80">
        <f>IF($H$43=0,"",H24/$H$43)</f>
        <v/>
      </c>
      <c r="M24" s="50" t="inlineStr">
        <is>
          <t>Chemical</t>
        </is>
      </c>
      <c r="N24" s="79">
        <f>SUMIF($C$2:$C$42,M24,$H$2:$H$42)</f>
        <v/>
      </c>
      <c r="O24" s="80">
        <f>IF($H$43=0,"",N24/$H$43)</f>
        <v/>
      </c>
    </row>
    <row r="25" ht="15" customHeight="1" s="44">
      <c r="A25" s="73" t="inlineStr">
        <is>
          <t>Emerging Titans</t>
        </is>
      </c>
      <c r="B25" s="59" t="inlineStr">
        <is>
          <t>Mac Power CNC Machines Ltd</t>
        </is>
      </c>
      <c r="C25" s="59" t="inlineStr">
        <is>
          <t>Engineering</t>
        </is>
      </c>
      <c r="D25" s="77" t="n">
        <v>80</v>
      </c>
      <c r="E25" s="78" t="n">
        <v>695.65</v>
      </c>
      <c r="F25" s="61">
        <f>IFERROR(XLOOKUP(B25,LivePrices!$A:$A,LivePrices!$D:$D),931.25)</f>
        <v/>
      </c>
      <c r="G25" s="81">
        <f>D25*E25</f>
        <v/>
      </c>
      <c r="H25" s="81">
        <f>D25*F25</f>
        <v/>
      </c>
      <c r="I25" s="81">
        <f>H25-G25</f>
        <v/>
      </c>
      <c r="J25" s="82">
        <f>IF(G25=0,"",(H25-G25)/G25)</f>
        <v/>
      </c>
      <c r="K25" s="82">
        <f>IF($H$43=0,"",H25/$H$43)</f>
        <v/>
      </c>
      <c r="M25" s="59" t="inlineStr">
        <is>
          <t>Diamond, Gems and Jewelry</t>
        </is>
      </c>
      <c r="N25" s="81">
        <f>SUMIF($C$2:$C$42,M25,$H$2:$H$42)</f>
        <v/>
      </c>
      <c r="O25" s="82">
        <f>IF($H$43=0,"",N25/$H$43)</f>
        <v/>
      </c>
    </row>
    <row r="26" ht="15" customHeight="1" s="44">
      <c r="A26" s="71" t="inlineStr">
        <is>
          <t>Emerging Titans</t>
        </is>
      </c>
      <c r="B26" s="50" t="inlineStr">
        <is>
          <t>Paushak Ltd</t>
        </is>
      </c>
      <c r="C26" s="50" t="inlineStr">
        <is>
          <t>Chemical</t>
        </is>
      </c>
      <c r="D26" s="77" t="n"/>
      <c r="E26" s="78" t="n"/>
      <c r="F26" s="54">
        <f>IFERROR(xlookup(B26,liveprices!$a:$a,liveprices!$d:$d),481)</f>
        <v/>
      </c>
      <c r="G26" s="79">
        <f>D26*E26</f>
        <v/>
      </c>
      <c r="H26" s="79">
        <f>D26*F26</f>
        <v/>
      </c>
      <c r="I26" s="79">
        <f>H26-G26</f>
        <v/>
      </c>
      <c r="J26" s="80">
        <f>IF(G26=0,"",(H26-G26)/G26)</f>
        <v/>
      </c>
      <c r="K26" s="80">
        <f>IF($H$43=0,"",H26/$H$43)</f>
        <v/>
      </c>
      <c r="M26" s="50" t="inlineStr">
        <is>
          <t>Forging</t>
        </is>
      </c>
      <c r="N26" s="79">
        <f>SUMIF($C$2:$C$42,M26,$H$2:$H$42)</f>
        <v/>
      </c>
      <c r="O26" s="80">
        <f>IF($H$43=0,"",N26/$H$43)</f>
        <v/>
      </c>
    </row>
    <row r="27" ht="15" customHeight="1" s="44">
      <c r="A27" s="73" t="inlineStr">
        <is>
          <t>Emerging Titans</t>
        </is>
      </c>
      <c r="B27" s="59" t="inlineStr">
        <is>
          <t>P N Gadgil Jewellers Ltd</t>
        </is>
      </c>
      <c r="C27" s="59" t="inlineStr">
        <is>
          <t>Diamond, Gems and Jewelry</t>
        </is>
      </c>
      <c r="D27" s="77" t="n">
        <v>270</v>
      </c>
      <c r="E27" s="78" t="n">
        <v>541.8</v>
      </c>
      <c r="F27" s="61">
        <f>IFERROR(XLOOKUP(B27,LivePrices!$A:$A,LivePrices!$D:$D),548.3)</f>
        <v/>
      </c>
      <c r="G27" s="81">
        <f>D27*E27</f>
        <v/>
      </c>
      <c r="H27" s="81">
        <f>D27*F27</f>
        <v/>
      </c>
      <c r="I27" s="81">
        <f>H27-G27</f>
        <v/>
      </c>
      <c r="J27" s="82">
        <f>IF(G27=0,"",(H27-G27)/G27)</f>
        <v/>
      </c>
      <c r="K27" s="82">
        <f>IF($H$43=0,"",H27/$H$43)</f>
        <v/>
      </c>
      <c r="M27" s="59" t="inlineStr">
        <is>
          <t>Automation</t>
        </is>
      </c>
      <c r="N27" s="81">
        <f>SUMIF($C$2:$C$42,M27,$H$2:$H$42)</f>
        <v/>
      </c>
      <c r="O27" s="82">
        <f>IF($H$43=0,"",N27/$H$43)</f>
        <v/>
      </c>
    </row>
    <row r="28" ht="15" customHeight="1" s="44">
      <c r="A28" s="71" t="inlineStr">
        <is>
          <t>Emerging Titans</t>
        </is>
      </c>
      <c r="B28" s="50" t="inlineStr">
        <is>
          <t>Shivalik Bi Metals Ltd</t>
        </is>
      </c>
      <c r="C28" s="50" t="inlineStr">
        <is>
          <t>Ferrous &amp; Non Ferrous Metals</t>
        </is>
      </c>
      <c r="D28" s="77" t="n"/>
      <c r="E28" s="78" t="n"/>
      <c r="F28" s="54">
        <f>IFERROR(xlookup(B28,liveprices!$a:$a,liveprices!$d:$d),530)</f>
        <v/>
      </c>
      <c r="G28" s="79">
        <f>D28*E28</f>
        <v/>
      </c>
      <c r="H28" s="79">
        <f>D28*F28</f>
        <v/>
      </c>
      <c r="I28" s="79">
        <f>H28-G28</f>
        <v/>
      </c>
      <c r="J28" s="80">
        <f>IF(G28=0,"",(H28-G28)/G28)</f>
        <v/>
      </c>
      <c r="K28" s="80">
        <f>IF($H$43=0,"",H28/$H$43)</f>
        <v/>
      </c>
      <c r="M28" s="50" t="inlineStr">
        <is>
          <t>Health Care</t>
        </is>
      </c>
      <c r="N28" s="79">
        <f>SUMIF($C$2:$C$42,M28,$H$2:$H$42)</f>
        <v/>
      </c>
      <c r="O28" s="80">
        <f>IF($H$43=0,"",N28/$H$43)</f>
        <v/>
      </c>
    </row>
    <row r="29" ht="15" customHeight="1" s="44">
      <c r="A29" s="73" t="inlineStr">
        <is>
          <t>Emerging Titans</t>
        </is>
      </c>
      <c r="B29" s="59" t="inlineStr">
        <is>
          <t>S G Finserve Ltd</t>
        </is>
      </c>
      <c r="C29" s="59" t="inlineStr">
        <is>
          <t>Finance</t>
        </is>
      </c>
      <c r="D29" s="77" t="n">
        <v>275</v>
      </c>
      <c r="E29" s="78" t="n">
        <v>334.38</v>
      </c>
      <c r="F29" s="61">
        <f>IFERROR(XLOOKUP(B29,LivePrices!$A:$A,LivePrices!$D:$D),571.0)</f>
        <v/>
      </c>
      <c r="G29" s="81">
        <f>D29*E29</f>
        <v/>
      </c>
      <c r="H29" s="81">
        <f>D29*F29</f>
        <v/>
      </c>
      <c r="I29" s="81">
        <f>H29-G29</f>
        <v/>
      </c>
      <c r="J29" s="82">
        <f>IF(G29=0,"",(H29-G29)/G29)</f>
        <v/>
      </c>
      <c r="K29" s="82">
        <f>IF($H$43=0,"",H29/$H$43)</f>
        <v/>
      </c>
      <c r="M29" s="59" t="inlineStr">
        <is>
          <t>Waste management and recycling</t>
        </is>
      </c>
      <c r="N29" s="81">
        <f>SUMIF($C$2:$C$42,M29,$H$2:$H$42)</f>
        <v/>
      </c>
      <c r="O29" s="82">
        <f>IF($H$43=0,"",N29/$H$43)</f>
        <v/>
      </c>
    </row>
    <row r="30" ht="15" customHeight="1" s="44">
      <c r="A30" s="74" t="inlineStr">
        <is>
          <t>Tiny Titans</t>
        </is>
      </c>
      <c r="B30" s="50" t="inlineStr">
        <is>
          <t>Maiden Forging</t>
        </is>
      </c>
      <c r="C30" s="50" t="inlineStr">
        <is>
          <t>Forging</t>
        </is>
      </c>
      <c r="D30" s="77" t="n"/>
      <c r="E30" s="78" t="n"/>
      <c r="F30" s="54">
        <f>IFERROR(xlookup(B30,liveprices!$a:$a,liveprices!$d:$d),86)</f>
        <v/>
      </c>
      <c r="G30" s="79">
        <f>D30*E30</f>
        <v/>
      </c>
      <c r="H30" s="79">
        <f>D30*F30</f>
        <v/>
      </c>
      <c r="I30" s="79">
        <f>H30-G30</f>
        <v/>
      </c>
      <c r="J30" s="80">
        <f>IF(G30=0,"",(H30-G30)/G30)</f>
        <v/>
      </c>
      <c r="K30" s="80">
        <f>IF($H$43=0,"",H30/$H$43)</f>
        <v/>
      </c>
      <c r="M30" s="50" t="inlineStr">
        <is>
          <t>Defence</t>
        </is>
      </c>
      <c r="N30" s="79">
        <f>SUMIF($C$2:$C$42,M30,$H$2:$H$42)</f>
        <v/>
      </c>
      <c r="O30" s="80">
        <f>IF($H$43=0,"",N30/$H$43)</f>
        <v/>
      </c>
    </row>
    <row r="31" ht="15" customHeight="1" s="44">
      <c r="A31" s="75" t="inlineStr">
        <is>
          <t>Tiny Titans</t>
        </is>
      </c>
      <c r="B31" s="59" t="inlineStr">
        <is>
          <t>PNGS Gargi Fashion Jewellery Ltd</t>
        </is>
      </c>
      <c r="C31" s="59" t="inlineStr">
        <is>
          <t>Jewellery</t>
        </is>
      </c>
      <c r="D31" s="77" t="n"/>
      <c r="E31" s="78" t="n"/>
      <c r="F31" s="61">
        <f>IFERROR(xlookup(B31,liveprices!$a:$a,liveprices!$d:$d),863)</f>
        <v/>
      </c>
      <c r="G31" s="81">
        <f>D31*E31</f>
        <v/>
      </c>
      <c r="H31" s="81">
        <f>D31*F31</f>
        <v/>
      </c>
      <c r="I31" s="81">
        <f>H31-G31</f>
        <v/>
      </c>
      <c r="J31" s="82">
        <f>IF(G31=0,"",(H31-G31)/G31)</f>
        <v/>
      </c>
      <c r="K31" s="82">
        <f>IF($H$43=0,"",H31/$H$43)</f>
        <v/>
      </c>
      <c r="M31" s="59" t="inlineStr">
        <is>
          <t>Business Support</t>
        </is>
      </c>
      <c r="N31" s="81">
        <f>SUMIF($C$2:$C$42,M31,$H$2:$H$42)</f>
        <v/>
      </c>
      <c r="O31" s="82">
        <f>IF($H$43=0,"",N31/$H$43)</f>
        <v/>
      </c>
    </row>
    <row r="32" ht="15" customHeight="1" s="44">
      <c r="A32" s="74" t="inlineStr">
        <is>
          <t>Tiny Titans</t>
        </is>
      </c>
      <c r="B32" s="50" t="inlineStr">
        <is>
          <t>Patil Automation Ltd</t>
        </is>
      </c>
      <c r="C32" s="50" t="inlineStr">
        <is>
          <t>Automation</t>
        </is>
      </c>
      <c r="D32" s="77" t="n">
        <v>600</v>
      </c>
      <c r="E32" s="78" t="n">
        <v>147.26</v>
      </c>
      <c r="F32" s="54">
        <f>IFERROR(XLOOKUP(B32,LivePrices!$A:$A,LivePrices!$D:$D),188.0)</f>
        <v/>
      </c>
      <c r="G32" s="79">
        <f>D32*E32</f>
        <v/>
      </c>
      <c r="H32" s="79">
        <f>D32*F32</f>
        <v/>
      </c>
      <c r="I32" s="79">
        <f>H32-G32</f>
        <v/>
      </c>
      <c r="J32" s="80">
        <f>IF(G32=0,"",(H32-G32)/G32)</f>
        <v/>
      </c>
      <c r="K32" s="80">
        <f>IF($H$43=0,"",H32/$H$43)</f>
        <v/>
      </c>
    </row>
    <row r="33" ht="15" customHeight="1" s="44">
      <c r="A33" s="75" t="inlineStr">
        <is>
          <t>Tiny Titans</t>
        </is>
      </c>
      <c r="B33" s="59" t="inlineStr">
        <is>
          <t>Airfloa Rail Technology Ltd</t>
        </is>
      </c>
      <c r="C33" s="59" t="inlineStr">
        <is>
          <t>Railway</t>
        </is>
      </c>
      <c r="D33" s="77" t="n">
        <v>1000</v>
      </c>
      <c r="E33" s="78" t="n">
        <v>259.98</v>
      </c>
      <c r="F33" s="61">
        <f>IFERROR(XLOOKUP(B33,LivePrices!$A:$A,LivePrices!$D:$D),320.05)</f>
        <v/>
      </c>
      <c r="G33" s="81">
        <f>D33*E33</f>
        <v/>
      </c>
      <c r="H33" s="81">
        <f>D33*F33</f>
        <v/>
      </c>
      <c r="I33" s="81">
        <f>H33-G33</f>
        <v/>
      </c>
      <c r="J33" s="82">
        <f>IF(G33=0,"",(H33-G33)/G33)</f>
        <v/>
      </c>
      <c r="K33" s="82">
        <f>IF($H$43=0,"",H33/$H$43)</f>
        <v/>
      </c>
    </row>
    <row r="34" ht="15" customHeight="1" s="44">
      <c r="A34" s="74" t="inlineStr">
        <is>
          <t>Tiny Titans</t>
        </is>
      </c>
      <c r="B34" s="50" t="inlineStr">
        <is>
          <t>Sat Kartar Shopping Ltd</t>
        </is>
      </c>
      <c r="C34" s="50" t="inlineStr">
        <is>
          <t>Health Care</t>
        </is>
      </c>
      <c r="D34" s="77" t="n">
        <v>800</v>
      </c>
      <c r="E34" s="78" t="n">
        <v>127.38</v>
      </c>
      <c r="F34" s="54">
        <f>IFERROR(XLOOKUP(B34,LivePrices!$A:$A,LivePrices!$D:$D),168.05)</f>
        <v/>
      </c>
      <c r="G34" s="79">
        <f>D34*E34</f>
        <v/>
      </c>
      <c r="H34" s="79">
        <f>D34*F34</f>
        <v/>
      </c>
      <c r="I34" s="79">
        <f>H34-G34</f>
        <v/>
      </c>
      <c r="J34" s="80">
        <f>IF(G34=0,"",(H34-G34)/G34)</f>
        <v/>
      </c>
      <c r="K34" s="80">
        <f>IF($H$43=0,"",H34/$H$43)</f>
        <v/>
      </c>
    </row>
    <row r="35" ht="15" customHeight="1" s="44">
      <c r="A35" s="75" t="inlineStr">
        <is>
          <t>Tiny Titans</t>
        </is>
      </c>
      <c r="B35" s="59" t="inlineStr">
        <is>
          <t>Z-Tech</t>
        </is>
      </c>
      <c r="C35" s="59" t="inlineStr">
        <is>
          <t>Waste management and recycling</t>
        </is>
      </c>
      <c r="D35" s="77" t="n">
        <v>300</v>
      </c>
      <c r="E35" s="78" t="n">
        <v>519.64</v>
      </c>
      <c r="F35" s="61">
        <f>IFERROR(XLOOKUP(B35,LivePrices!$A:$A,LivePrices!$D:$D),581.0)</f>
        <v/>
      </c>
      <c r="G35" s="81">
        <f>D35*E35</f>
        <v/>
      </c>
      <c r="H35" s="81">
        <f>D35*F35</f>
        <v/>
      </c>
      <c r="I35" s="81">
        <f>H35-G35</f>
        <v/>
      </c>
      <c r="J35" s="82">
        <f>IF(G35=0,"",(H35-G35)/G35)</f>
        <v/>
      </c>
      <c r="K35" s="82">
        <f>IF($H$43=0,"",H35/$H$43)</f>
        <v/>
      </c>
    </row>
    <row r="36" ht="15" customHeight="1" s="44">
      <c r="A36" s="74" t="inlineStr">
        <is>
          <t>Tiny Titans</t>
        </is>
      </c>
      <c r="B36" s="50" t="inlineStr">
        <is>
          <t>Sealmatic India Ltd</t>
        </is>
      </c>
      <c r="C36" s="50" t="inlineStr">
        <is>
          <t>Engineering</t>
        </is>
      </c>
      <c r="D36" s="77" t="n">
        <v>360</v>
      </c>
      <c r="E36" s="78" t="n">
        <v>336.46</v>
      </c>
      <c r="F36" s="54">
        <f>IFERROR(XLOOKUP(B36,LivePrices!$A:$A,LivePrices!$D:$D),376.95)</f>
        <v/>
      </c>
      <c r="G36" s="79">
        <f>D36*E36</f>
        <v/>
      </c>
      <c r="H36" s="79">
        <f>D36*F36</f>
        <v/>
      </c>
      <c r="I36" s="79">
        <f>H36-G36</f>
        <v/>
      </c>
      <c r="J36" s="80">
        <f>IF(G36=0,"",(H36-G36)/G36)</f>
        <v/>
      </c>
      <c r="K36" s="80">
        <f>IF($H$43=0,"",H36/$H$43)</f>
        <v/>
      </c>
    </row>
    <row r="37" ht="15" customHeight="1" s="44">
      <c r="A37" s="75" t="inlineStr">
        <is>
          <t>Tiny Titans</t>
        </is>
      </c>
      <c r="B37" s="59" t="inlineStr">
        <is>
          <t>CFF Fluid Control Ltd</t>
        </is>
      </c>
      <c r="C37" s="59" t="inlineStr">
        <is>
          <t>Defence</t>
        </is>
      </c>
      <c r="D37" s="77" t="n"/>
      <c r="E37" s="78" t="n"/>
      <c r="F37" s="61">
        <f>IFERROR(xlookup(B37,liveprices!$a:$a,liveprices!$d:$d),770)</f>
        <v/>
      </c>
      <c r="G37" s="81">
        <f>D37*E37</f>
        <v/>
      </c>
      <c r="H37" s="81">
        <f>D37*F37</f>
        <v/>
      </c>
      <c r="I37" s="81">
        <f>H37-G37</f>
        <v/>
      </c>
      <c r="J37" s="82">
        <f>IF(G37=0,"",(H37-G37)/G37)</f>
        <v/>
      </c>
      <c r="K37" s="82">
        <f>IF($H$43=0,"",H37/$H$43)</f>
        <v/>
      </c>
    </row>
    <row r="38" ht="15" customHeight="1" s="44">
      <c r="A38" s="74" t="inlineStr">
        <is>
          <t>Tiny Titans</t>
        </is>
      </c>
      <c r="B38" s="50" t="inlineStr">
        <is>
          <t>Sathlokhar Synergys E&amp;C</t>
        </is>
      </c>
      <c r="C38" s="50" t="inlineStr">
        <is>
          <t>Infrastructure &amp; Real Estate</t>
        </is>
      </c>
      <c r="D38" s="77" t="n">
        <v>400</v>
      </c>
      <c r="E38" s="78" t="n">
        <v>335.46</v>
      </c>
      <c r="F38" s="54">
        <f>IFERROR(XLOOKUP(B38,LivePrices!$A:$A,LivePrices!$D:$D),360.5)</f>
        <v/>
      </c>
      <c r="G38" s="79">
        <f>D38*E38</f>
        <v/>
      </c>
      <c r="H38" s="79">
        <f>D38*F38</f>
        <v/>
      </c>
      <c r="I38" s="79">
        <f>H38-G38</f>
        <v/>
      </c>
      <c r="J38" s="80">
        <f>IF(G38=0,"",(H38-G38)/G38)</f>
        <v/>
      </c>
      <c r="K38" s="80">
        <f>IF($H$43=0,"",H38/$H$43)</f>
        <v/>
      </c>
    </row>
    <row r="39" ht="15" customHeight="1" s="44">
      <c r="A39" s="75" t="inlineStr">
        <is>
          <t>Tiny Titans</t>
        </is>
      </c>
      <c r="B39" s="59" t="inlineStr">
        <is>
          <t>Aluwind Infra-Tech Ltd</t>
        </is>
      </c>
      <c r="C39" s="59" t="inlineStr">
        <is>
          <t>Ferrous &amp; Non Ferrous Metals</t>
        </is>
      </c>
      <c r="D39" s="77" t="n"/>
      <c r="E39" s="78" t="n"/>
      <c r="F39" s="61">
        <f>IFERROR(xlookup(B39,liveprices!$a:$a,liveprices!$d:$d),57)</f>
        <v/>
      </c>
      <c r="G39" s="81">
        <f>D39*E39</f>
        <v/>
      </c>
      <c r="H39" s="81">
        <f>D39*F39</f>
        <v/>
      </c>
      <c r="I39" s="81">
        <f>H39-G39</f>
        <v/>
      </c>
      <c r="J39" s="82">
        <f>IF(G39=0,"",(H39-G39)/G39)</f>
        <v/>
      </c>
      <c r="K39" s="82">
        <f>IF($H$43=0,"",H39/$H$43)</f>
        <v/>
      </c>
    </row>
    <row r="40" ht="15" customHeight="1" s="44">
      <c r="A40" s="74" t="inlineStr">
        <is>
          <t>Tiny Titans</t>
        </is>
      </c>
      <c r="B40" s="50" t="inlineStr">
        <is>
          <t>Danish Power Ltd</t>
        </is>
      </c>
      <c r="C40" s="50" t="inlineStr">
        <is>
          <t>Power</t>
        </is>
      </c>
      <c r="D40" s="77" t="n">
        <v>300</v>
      </c>
      <c r="E40" s="78" t="n">
        <v>635.83</v>
      </c>
      <c r="F40" s="54">
        <f>IFERROR(XLOOKUP(B40,LivePrices!$A:$A,LivePrices!$D:$D),874.05)</f>
        <v/>
      </c>
      <c r="G40" s="79">
        <f>D40*E40</f>
        <v/>
      </c>
      <c r="H40" s="79">
        <f>D40*F40</f>
        <v/>
      </c>
      <c r="I40" s="79">
        <f>H40-G40</f>
        <v/>
      </c>
      <c r="J40" s="80">
        <f>IF(G40=0,"",(H40-G40)/G40)</f>
        <v/>
      </c>
      <c r="K40" s="80">
        <f>IF($H$43=0,"",H40/$H$43)</f>
        <v/>
      </c>
    </row>
    <row r="41" ht="15" customHeight="1" s="44">
      <c r="A41" s="75" t="inlineStr">
        <is>
          <t>Tiny Titans</t>
        </is>
      </c>
      <c r="B41" s="59" t="inlineStr">
        <is>
          <t>Wise Travel India Ltd</t>
        </is>
      </c>
      <c r="C41" s="59" t="inlineStr">
        <is>
          <t>Business Support</t>
        </is>
      </c>
      <c r="D41" s="77" t="n">
        <v>1000</v>
      </c>
      <c r="E41" s="78" t="n">
        <v>95.14</v>
      </c>
      <c r="F41" s="61">
        <f>IFERROR(XLOOKUP(B41,LivePrices!$A:$A,LivePrices!$D:$D),100.0)</f>
        <v/>
      </c>
      <c r="G41" s="81">
        <f>D41*E41</f>
        <v/>
      </c>
      <c r="H41" s="81">
        <f>D41*F41</f>
        <v/>
      </c>
      <c r="I41" s="81">
        <f>H41-G41</f>
        <v/>
      </c>
      <c r="J41" s="82">
        <f>IF(G41=0,"",(H41-G41)/G41)</f>
        <v/>
      </c>
      <c r="K41" s="82">
        <f>IF($H$43=0,"",H41/$H$43)</f>
        <v/>
      </c>
    </row>
    <row r="42" ht="15" customHeight="1" s="44">
      <c r="A42" s="74" t="inlineStr">
        <is>
          <t>Tiny Titans</t>
        </is>
      </c>
      <c r="B42" s="50" t="inlineStr">
        <is>
          <t>Infollion Research Services Ltd</t>
        </is>
      </c>
      <c r="C42" s="50" t="inlineStr">
        <is>
          <t>Business Support</t>
        </is>
      </c>
      <c r="D42" s="77" t="n">
        <v>800</v>
      </c>
      <c r="E42" s="78" t="n">
        <v>184.68</v>
      </c>
      <c r="F42" s="54">
        <f>IFERROR(XLOOKUP(B42,LivePrices!$A:$A,LivePrices!$D:$D),177.0)</f>
        <v/>
      </c>
      <c r="G42" s="79">
        <f>D42*E42</f>
        <v/>
      </c>
      <c r="H42" s="79">
        <f>D42*F42</f>
        <v/>
      </c>
      <c r="I42" s="79">
        <f>H42-G42</f>
        <v/>
      </c>
      <c r="J42" s="80">
        <f>IF(G42=0,"",(H42-G42)/G42)</f>
        <v/>
      </c>
      <c r="K42" s="80">
        <f>IF($H$43=0,"",H42/$H$43)</f>
        <v/>
      </c>
    </row>
    <row r="43" ht="15" customHeight="1" s="44">
      <c r="C43" s="84" t="inlineStr">
        <is>
          <t>TOTAL</t>
        </is>
      </c>
      <c r="G43" s="85">
        <f>SUM(G2:G42)</f>
        <v/>
      </c>
      <c r="H43" s="85">
        <f>SUM(H2:H42)</f>
        <v/>
      </c>
      <c r="I43" s="85">
        <f>SUM(I2:I42)</f>
        <v/>
      </c>
      <c r="J43" s="86">
        <f>IF(G43=0,"",(H43-G43)/G43)</f>
        <v/>
      </c>
      <c r="K43" s="86">
        <f>IF(H43=0,"",SUM(K2:K42))</f>
        <v/>
      </c>
    </row>
    <row r="44"/>
    <row r="45" ht="15" customHeight="1" s="44">
      <c r="A45" s="46" t="inlineStr">
        <is>
          <t>Enter Qty + Avg Cost (yellow cells) for names you actually hold. Everything else is live/computed. Weights and sector %% turn red past the limits in N1/N2.</t>
        </is>
      </c>
    </row>
  </sheetData>
  <conditionalFormatting sqref="I2:J42">
    <cfRule type="cellIs" rank="0" priority="2" equalAverage="0" operator="greaterThan" aboveAverage="0" dxfId="6" text="" percent="0" bottom="0">
      <formula>0</formula>
    </cfRule>
    <cfRule type="cellIs" rank="0" priority="3" equalAverage="0" operator="lessThan" aboveAverage="0" dxfId="7" text="" percent="0" bottom="0">
      <formula>0</formula>
    </cfRule>
  </conditionalFormatting>
  <conditionalFormatting sqref="K2:K42">
    <cfRule type="expression" rank="0" priority="4" equalAverage="0" aboveAverage="0" dxfId="11" text="" percent="0" bottom="0">
      <formula>AND($K2&lt;&gt;"",$K2&gt;$N$1)</formula>
    </cfRule>
  </conditionalFormatting>
  <conditionalFormatting sqref="O6:O31">
    <cfRule type="expression" rank="0" priority="5" equalAverage="0" aboveAverage="0" dxfId="11" text="" percent="0" bottom="0">
      <formula>AND(O6&lt;&gt;"",O6&gt;$N$2)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2026-06-02T15:18:37Z</dcterms:created>
  <dcterms:modified xmlns:dcterms="http://purl.org/dc/terms/" xmlns:xsi="http://www.w3.org/2001/XMLSchema-instance" xsi:type="dcterms:W3CDTF">2026-06-03T03:32:53Z</dcterms:modified>
  <cp:revision>0</cp:revision>
</cp:coreProperties>
</file>