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merging Titans" sheetId="2" state="visible" r:id="rId4"/>
    <sheet name="Tiny Titans" sheetId="3" state="visible" r:id="rId5"/>
    <sheet name="SOIC" sheetId="4" state="visible" r:id="rId6"/>
    <sheet name="Watchlist (Combined)" sheetId="5" state="visible" r:id="rId7"/>
    <sheet name="Portfolio" sheetId="6" state="visible" r:id="rId8"/>
  </sheets>
  <definedNames>
    <definedName function="false" hidden="true" localSheetId="1" name="_xlnm._FilterDatabase" vbProcedure="false">'Emerging Titans'!$A$1:$K$29</definedName>
    <definedName function="false" hidden="true" localSheetId="3" name="_xlnm._FilterDatabase" vbProcedure="false">SOIC!$A$1:$L$31</definedName>
    <definedName function="false" hidden="true" localSheetId="2" name="_xlnm._FilterDatabase" vbProcedure="false">'Tiny Titans'!$A$1:$K$14</definedName>
    <definedName function="false" hidden="true" localSheetId="4" name="_xlnm._FilterDatabase" vbProcedure="false">'Watchlist (Combined)'!$A$1:$Q$72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<sst xmlns="http://schemas.openxmlformats.org/spreadsheetml/2006/main" count="1030" uniqueCount="368">
  <si>
    <t xml:space="preserve">ValueEducator + SOIC - Watchlist, Portfolio &amp; Research Tracker</t>
  </si>
  <si>
    <t xml:space="preserve">Sources: valueeducator.com + School of Intrinsic Compounding (SOIC). Returns reported 2 Jun 2026 / SOIC 27 May 2026.</t>
  </si>
  <si>
    <t xml:space="preserve">Live CMP source:</t>
  </si>
  <si>
    <t xml:space="preserve">Power Query 'LivePrices' table (Data &gt; Refresh All). CMP falls back to entry/snapshot until the query is set up.</t>
  </si>
  <si>
    <t xml:space="preserve">Sheet</t>
  </si>
  <si>
    <t xml:space="preserve">What it is</t>
  </si>
  <si>
    <t xml:space="preserve">Watchlist (Combined)</t>
  </si>
  <si>
    <t xml:space="preserve">All names across ValueEducator + SOIC + living thesis tracker</t>
  </si>
  <si>
    <t xml:space="preserve">Portfolio</t>
  </si>
  <si>
    <t xml:space="preserve">Your 27 Angel One holdings -&gt; live value, weight, P&amp;L, sector exposure</t>
  </si>
  <si>
    <t xml:space="preserve">SOIC</t>
  </si>
  <si>
    <t xml:space="preserve">30 active SOIC recommendations + exited track record</t>
  </si>
  <si>
    <t xml:space="preserve">Emerging Titans / Tiny Titans</t>
  </si>
  <si>
    <t xml:space="preserve">ValueEducator source portfolios</t>
  </si>
  <si>
    <t xml:space="preserve">DISCLAIMER: Reproduced from third-party research services (ValueEducator, SOIC) and your broker for personal tracking. NOT investment advice. Verify against primary sources before acting.</t>
  </si>
  <si>
    <t xml:space="preserve">No.</t>
  </si>
  <si>
    <t xml:space="preserve">Stock Name</t>
  </si>
  <si>
    <t xml:space="preserve">Sector</t>
  </si>
  <si>
    <t xml:space="preserve">Date of Rec</t>
  </si>
  <si>
    <t xml:space="preserve">Price at Rec (Rs)</t>
  </si>
  <si>
    <t xml:space="preserve">Allocation</t>
  </si>
  <si>
    <t xml:space="preserve">Action</t>
  </si>
  <si>
    <t xml:space="preserve">CMP (Rs)</t>
  </si>
  <si>
    <t xml:space="preserve">Return % (reported)</t>
  </si>
  <si>
    <t xml:space="preserve">Live P/L %</t>
  </si>
  <si>
    <t xml:space="preserve">Notes</t>
  </si>
  <si>
    <t xml:space="preserve">Techno Electric &amp; Engineering Ltd</t>
  </si>
  <si>
    <t xml:space="preserve">Power</t>
  </si>
  <si>
    <t xml:space="preserve">Sell</t>
  </si>
  <si>
    <t xml:space="preserve">Marked Sell 27 May 2026 (exit); source CMP shown = entry price</t>
  </si>
  <si>
    <t xml:space="preserve">Oswal Pumps Ltd</t>
  </si>
  <si>
    <t xml:space="preserve">Capital Goods</t>
  </si>
  <si>
    <t xml:space="preserve">PNGS Reva Diamond Jewellery Limited</t>
  </si>
  <si>
    <t xml:space="preserve">Jewellery</t>
  </si>
  <si>
    <t xml:space="preserve">Buy</t>
  </si>
  <si>
    <t xml:space="preserve">HBL Engineering</t>
  </si>
  <si>
    <t xml:space="preserve">Railway</t>
  </si>
  <si>
    <t xml:space="preserve">Centum Electronics Ltd</t>
  </si>
  <si>
    <t xml:space="preserve">Defence &amp; Electronics</t>
  </si>
  <si>
    <t xml:space="preserve">SJS</t>
  </si>
  <si>
    <t xml:space="preserve">Auto</t>
  </si>
  <si>
    <t xml:space="preserve">Narayana Hrudayalaya Ltd</t>
  </si>
  <si>
    <t xml:space="preserve">Hospitals</t>
  </si>
  <si>
    <t xml:space="preserve">Force Motors</t>
  </si>
  <si>
    <t xml:space="preserve">Samhi Hotels</t>
  </si>
  <si>
    <t xml:space="preserve">Hotels</t>
  </si>
  <si>
    <t xml:space="preserve">Gravita India Limited</t>
  </si>
  <si>
    <t xml:space="preserve">Recycling</t>
  </si>
  <si>
    <t xml:space="preserve">Timex Group</t>
  </si>
  <si>
    <t xml:space="preserve">Watches</t>
  </si>
  <si>
    <t xml:space="preserve">Federal bank financial services</t>
  </si>
  <si>
    <t xml:space="preserve">NBFC</t>
  </si>
  <si>
    <t xml:space="preserve">Praveg Ltd</t>
  </si>
  <si>
    <t xml:space="preserve">Hospitality</t>
  </si>
  <si>
    <t xml:space="preserve">Navkar Corporation Ltd</t>
  </si>
  <si>
    <t xml:space="preserve">Logistics Services</t>
  </si>
  <si>
    <t xml:space="preserve">Indo Tech Transformers Ltd</t>
  </si>
  <si>
    <t xml:space="preserve">Arkade Developers Ltd</t>
  </si>
  <si>
    <t xml:space="preserve">Infrastructure &amp; Real Estate</t>
  </si>
  <si>
    <t xml:space="preserve">Sambhv Steel Tubes Ltd</t>
  </si>
  <si>
    <t xml:space="preserve">Ferrous &amp; Non Ferrous Metals</t>
  </si>
  <si>
    <t xml:space="preserve">India Shelter Finance</t>
  </si>
  <si>
    <t xml:space="preserve">Finance</t>
  </si>
  <si>
    <t xml:space="preserve">Kilburn Engineering</t>
  </si>
  <si>
    <t xml:space="preserve">Engineering</t>
  </si>
  <si>
    <t xml:space="preserve">PSP Projects</t>
  </si>
  <si>
    <t xml:space="preserve">Frontier Spring</t>
  </si>
  <si>
    <t xml:space="preserve">CCL Products (India) Ltd</t>
  </si>
  <si>
    <t xml:space="preserve">FMCG</t>
  </si>
  <si>
    <t xml:space="preserve">Tara Chand Infra Solution</t>
  </si>
  <si>
    <t xml:space="preserve">Mac Power CNC Machines Ltd</t>
  </si>
  <si>
    <t xml:space="preserve">Paushak Ltd</t>
  </si>
  <si>
    <t xml:space="preserve">Chemical</t>
  </si>
  <si>
    <t xml:space="preserve">P N Gadgil Jewellers Ltd</t>
  </si>
  <si>
    <t xml:space="preserve">Diamond, Gems and Jewelry</t>
  </si>
  <si>
    <t xml:space="preserve">Shivalik Bi Metals Ltd</t>
  </si>
  <si>
    <t xml:space="preserve">S G Finserve Ltd</t>
  </si>
  <si>
    <t xml:space="preserve">Total allocation listed -&gt;</t>
  </si>
  <si>
    <t xml:space="preserve">Rating</t>
  </si>
  <si>
    <t xml:space="preserve">Maiden Forging</t>
  </si>
  <si>
    <t xml:space="preserve">Forging</t>
  </si>
  <si>
    <t xml:space="preserve">PNGS Gargi Fashion Jewellery Ltd</t>
  </si>
  <si>
    <t xml:space="preserve">Patil Automation Ltd</t>
  </si>
  <si>
    <t xml:space="preserve">Automation</t>
  </si>
  <si>
    <t xml:space="preserve">Airfloa Rail Technology Ltd</t>
  </si>
  <si>
    <t xml:space="preserve">Sat Kartar Shopping Ltd</t>
  </si>
  <si>
    <t xml:space="preserve">Health Care</t>
  </si>
  <si>
    <t xml:space="preserve">Z-Tech</t>
  </si>
  <si>
    <t xml:space="preserve">Waste management and recycling</t>
  </si>
  <si>
    <t xml:space="preserve">Sealmatic India Ltd</t>
  </si>
  <si>
    <t xml:space="preserve">CFF Fluid Control Ltd</t>
  </si>
  <si>
    <t xml:space="preserve">Defence</t>
  </si>
  <si>
    <t xml:space="preserve">Sathlokhar Synergys E&amp;C</t>
  </si>
  <si>
    <t xml:space="preserve">Aluwind Infra-Tech Ltd</t>
  </si>
  <si>
    <t xml:space="preserve">Danish Power Ltd</t>
  </si>
  <si>
    <t xml:space="preserve">Wise Travel India Ltd</t>
  </si>
  <si>
    <t xml:space="preserve">Business Support</t>
  </si>
  <si>
    <t xml:space="preserve">Infollion Research Services Ltd</t>
  </si>
  <si>
    <t xml:space="preserve">Stock</t>
  </si>
  <si>
    <t xml:space="preserve">Basket</t>
  </si>
  <si>
    <t xml:space="preserve">Avg Price on Rec</t>
  </si>
  <si>
    <t xml:space="preserve">Updated Buy Range</t>
  </si>
  <si>
    <t xml:space="preserve">Star</t>
  </si>
  <si>
    <t xml:space="preserve">Rec Type</t>
  </si>
  <si>
    <t xml:space="preserve">Horizon</t>
  </si>
  <si>
    <t xml:space="preserve">CMP</t>
  </si>
  <si>
    <t xml:space="preserve">Narayana Hrudayalaya</t>
  </si>
  <si>
    <t xml:space="preserve">Healthcare</t>
  </si>
  <si>
    <t xml:space="preserve">1,150 - 1,775</t>
  </si>
  <si>
    <t xml:space="preserve">Value</t>
  </si>
  <si>
    <t xml:space="preserve">2-3 Yrs</t>
  </si>
  <si>
    <t xml:space="preserve">Goodluck India</t>
  </si>
  <si>
    <t xml:space="preserve">Cap goods</t>
  </si>
  <si>
    <t xml:space="preserve">800 - 1,180</t>
  </si>
  <si>
    <t xml:space="preserve">GARP</t>
  </si>
  <si>
    <t xml:space="preserve">1-2 Yrs</t>
  </si>
  <si>
    <t xml:space="preserve">Partial Exit</t>
  </si>
  <si>
    <t xml:space="preserve">GPIL</t>
  </si>
  <si>
    <t xml:space="preserve">Metals</t>
  </si>
  <si>
    <t xml:space="preserve">134 - 270</t>
  </si>
  <si>
    <t xml:space="preserve">Nuvama Wealth</t>
  </si>
  <si>
    <t xml:space="preserve">Financial services</t>
  </si>
  <si>
    <t xml:space="preserve">Upto Rs. 1,250</t>
  </si>
  <si>
    <t xml:space="preserve">Arman Finance</t>
  </si>
  <si>
    <t xml:space="preserve">Financials</t>
  </si>
  <si>
    <t xml:space="preserve">Upto Rs. 1,500</t>
  </si>
  <si>
    <t xml:space="preserve">Consumer</t>
  </si>
  <si>
    <t xml:space="preserve">170 - 215</t>
  </si>
  <si>
    <t xml:space="preserve">Interarch Building Products</t>
  </si>
  <si>
    <t xml:space="preserve">Upto Rs. 1,550</t>
  </si>
  <si>
    <t xml:space="preserve">Time Technoplast</t>
  </si>
  <si>
    <t xml:space="preserve">Upto Rs. 225</t>
  </si>
  <si>
    <t xml:space="preserve">Aarti Pharma</t>
  </si>
  <si>
    <t xml:space="preserve">CDMO</t>
  </si>
  <si>
    <t xml:space="preserve">Upto Rs. 875</t>
  </si>
  <si>
    <t xml:space="preserve">Pondy Oxides</t>
  </si>
  <si>
    <t xml:space="preserve">Upto Rs. 820</t>
  </si>
  <si>
    <t xml:space="preserve">Core</t>
  </si>
  <si>
    <t xml:space="preserve">Partial Exit + SL</t>
  </si>
  <si>
    <t xml:space="preserve">Fedbank Financial Services</t>
  </si>
  <si>
    <t xml:space="preserve">Upto Rs. 145</t>
  </si>
  <si>
    <t xml:space="preserve">Deepak Fertilizers</t>
  </si>
  <si>
    <t xml:space="preserve">Chemicals</t>
  </si>
  <si>
    <t xml:space="preserve">Upto Rs. 1,700</t>
  </si>
  <si>
    <t xml:space="preserve">Vishnu Chemicals</t>
  </si>
  <si>
    <t xml:space="preserve">Upto Rs. 550</t>
  </si>
  <si>
    <t xml:space="preserve">Adani Port and SEZ</t>
  </si>
  <si>
    <t xml:space="preserve">Ports</t>
  </si>
  <si>
    <t xml:space="preserve">One97 Communications (PayTm)</t>
  </si>
  <si>
    <t xml:space="preserve">Fintech</t>
  </si>
  <si>
    <t xml:space="preserve">Upto Rs. 1,370</t>
  </si>
  <si>
    <t xml:space="preserve">Sansera Engineering</t>
  </si>
  <si>
    <t xml:space="preserve">Upto Rs. 1,750</t>
  </si>
  <si>
    <t xml:space="preserve">Momentum</t>
  </si>
  <si>
    <t xml:space="preserve">Railways</t>
  </si>
  <si>
    <t xml:space="preserve">Upto Rs. 880</t>
  </si>
  <si>
    <t xml:space="preserve">Privi Speciality</t>
  </si>
  <si>
    <t xml:space="preserve">Upto Rs. 2,850</t>
  </si>
  <si>
    <t xml:space="preserve">Garware Hi-Tech</t>
  </si>
  <si>
    <t xml:space="preserve">Packaging films</t>
  </si>
  <si>
    <t xml:space="preserve">Upto Rs. 4,100</t>
  </si>
  <si>
    <t xml:space="preserve">Sai Life Science</t>
  </si>
  <si>
    <t xml:space="preserve">Upto Rs. 940</t>
  </si>
  <si>
    <t xml:space="preserve">Nippon India ETF Nifty 50 BeES</t>
  </si>
  <si>
    <t xml:space="preserve">ETF</t>
  </si>
  <si>
    <t xml:space="preserve">Upto Rs. 280</t>
  </si>
  <si>
    <t xml:space="preserve">Satellite</t>
  </si>
  <si>
    <t xml:space="preserve">Venus Pipes &amp; Tubes</t>
  </si>
  <si>
    <t xml:space="preserve">Upto Rs. 1,200</t>
  </si>
  <si>
    <t xml:space="preserve">Knowledge Marine &amp; Engineering Works</t>
  </si>
  <si>
    <t xml:space="preserve">Shipbuilding</t>
  </si>
  <si>
    <t xml:space="preserve">Upto Rs. 1,900</t>
  </si>
  <si>
    <t xml:space="preserve">Hindustan Zinc</t>
  </si>
  <si>
    <t xml:space="preserve">Upto Rs. 610</t>
  </si>
  <si>
    <t xml:space="preserve">RR Kabel</t>
  </si>
  <si>
    <t xml:space="preserve">Cables</t>
  </si>
  <si>
    <t xml:space="preserve">Upto Rs. 1,650</t>
  </si>
  <si>
    <t xml:space="preserve">Motilal Oswal Financial Services</t>
  </si>
  <si>
    <t xml:space="preserve">Upto Rs. 840</t>
  </si>
  <si>
    <t xml:space="preserve">Jeena Sikho Lifecare</t>
  </si>
  <si>
    <t xml:space="preserve">Upto Rs. 790</t>
  </si>
  <si>
    <t xml:space="preserve">KDDL</t>
  </si>
  <si>
    <t xml:space="preserve">2,700 - 2,800</t>
  </si>
  <si>
    <t xml:space="preserve">Viyash Scientific</t>
  </si>
  <si>
    <t xml:space="preserve">Pharmaceuticals</t>
  </si>
  <si>
    <t xml:space="preserve">Upto Rs. 270</t>
  </si>
  <si>
    <t xml:space="preserve">Thyrocare</t>
  </si>
  <si>
    <t xml:space="preserve">Diagnostics</t>
  </si>
  <si>
    <t xml:space="preserve">Upto Rs. 530</t>
  </si>
  <si>
    <t xml:space="preserve">Exited (track record) - primary exit shown; some names had partial exits</t>
  </si>
  <si>
    <t xml:space="preserve">Avg Price</t>
  </si>
  <si>
    <t xml:space="preserve">Buy Range</t>
  </si>
  <si>
    <t xml:space="preserve">Date of Exit</t>
  </si>
  <si>
    <t xml:space="preserve">Exit Price</t>
  </si>
  <si>
    <t xml:space="preserve">Gain/(Loss) %</t>
  </si>
  <si>
    <t xml:space="preserve">1700 - 2040</t>
  </si>
  <si>
    <t xml:space="preserve">Kama Holdings</t>
  </si>
  <si>
    <t xml:space="preserve">2900 - 3300</t>
  </si>
  <si>
    <t xml:space="preserve">IIFL Finance</t>
  </si>
  <si>
    <t xml:space="preserve">550 - 630</t>
  </si>
  <si>
    <t xml:space="preserve">SSWL</t>
  </si>
  <si>
    <t xml:space="preserve">250 - 290</t>
  </si>
  <si>
    <t xml:space="preserve">Nucleus Software</t>
  </si>
  <si>
    <t xml:space="preserve">950 - 1180</t>
  </si>
  <si>
    <t xml:space="preserve">South Indian Bank</t>
  </si>
  <si>
    <t xml:space="preserve">22 - 27</t>
  </si>
  <si>
    <t xml:space="preserve">Protean eGov</t>
  </si>
  <si>
    <t xml:space="preserve">1,100 - 1,350</t>
  </si>
  <si>
    <t xml:space="preserve">South Indian Bank Rights</t>
  </si>
  <si>
    <t xml:space="preserve">22 - 22</t>
  </si>
  <si>
    <t xml:space="preserve">Marathon Nextgen</t>
  </si>
  <si>
    <t xml:space="preserve">345 - 440</t>
  </si>
  <si>
    <t xml:space="preserve">Intellect Design</t>
  </si>
  <si>
    <t xml:space="preserve">700 - 840</t>
  </si>
  <si>
    <t xml:space="preserve">Jindal Stainless</t>
  </si>
  <si>
    <t xml:space="preserve">400 - 485</t>
  </si>
  <si>
    <t xml:space="preserve">Aarti Industries</t>
  </si>
  <si>
    <t xml:space="preserve">470 - 600</t>
  </si>
  <si>
    <t xml:space="preserve">Sanghvi Movers</t>
  </si>
  <si>
    <t xml:space="preserve">1,150 - 1,230</t>
  </si>
  <si>
    <t xml:space="preserve">NCC</t>
  </si>
  <si>
    <t xml:space="preserve">135 - 165</t>
  </si>
  <si>
    <t xml:space="preserve">Ujjivan Small Finance Bank</t>
  </si>
  <si>
    <t xml:space="preserve">49 - 52</t>
  </si>
  <si>
    <t xml:space="preserve">Aarti Pharma (exited)</t>
  </si>
  <si>
    <t xml:space="preserve">500 - 550</t>
  </si>
  <si>
    <t xml:space="preserve">Zen Technologies</t>
  </si>
  <si>
    <t xml:space="preserve">760 - 890</t>
  </si>
  <si>
    <t xml:space="preserve">AGI Greenpac</t>
  </si>
  <si>
    <t xml:space="preserve">850 - 995</t>
  </si>
  <si>
    <t xml:space="preserve">Indus Tower</t>
  </si>
  <si>
    <t xml:space="preserve">350 - 380</t>
  </si>
  <si>
    <t xml:space="preserve">Varun Beverages</t>
  </si>
  <si>
    <t xml:space="preserve">340 - 380</t>
  </si>
  <si>
    <t xml:space="preserve">Equitas SFB</t>
  </si>
  <si>
    <t xml:space="preserve">100 - 110</t>
  </si>
  <si>
    <t xml:space="preserve">Zomato</t>
  </si>
  <si>
    <t xml:space="preserve">120 - 155</t>
  </si>
  <si>
    <t xml:space="preserve">MCX</t>
  </si>
  <si>
    <t xml:space="preserve">2,050 - 2,350</t>
  </si>
  <si>
    <t xml:space="preserve">Tejas Networks</t>
  </si>
  <si>
    <t xml:space="preserve">850 - 1,100</t>
  </si>
  <si>
    <t xml:space="preserve">Insecticides India</t>
  </si>
  <si>
    <t xml:space="preserve">570 - 650</t>
  </si>
  <si>
    <t xml:space="preserve">NSE Symbol</t>
  </si>
  <si>
    <t xml:space="preserve">BSE Code</t>
  </si>
  <si>
    <t xml:space="preserve">Price at Rec</t>
  </si>
  <si>
    <t xml:space="preserve">Alloc / Rating</t>
  </si>
  <si>
    <t xml:space="preserve">Thesis Status</t>
  </si>
  <si>
    <t xml:space="preserve">Conviction</t>
  </si>
  <si>
    <t xml:space="preserve">Last Reviewed</t>
  </si>
  <si>
    <t xml:space="preserve">What Breaks This</t>
  </si>
  <si>
    <t xml:space="preserve">Emerging Titans</t>
  </si>
  <si>
    <t xml:space="preserve">TECHNOE</t>
  </si>
  <si>
    <t xml:space="preserve">5%</t>
  </si>
  <si>
    <t xml:space="preserve">OSWALPUMPS</t>
  </si>
  <si>
    <t xml:space="preserve">3%</t>
  </si>
  <si>
    <t xml:space="preserve">PNGSREVA</t>
  </si>
  <si>
    <t xml:space="preserve">HBLENGINE</t>
  </si>
  <si>
    <t xml:space="preserve">CENTUM</t>
  </si>
  <si>
    <t xml:space="preserve">4%</t>
  </si>
  <si>
    <t xml:space="preserve">NH</t>
  </si>
  <si>
    <t xml:space="preserve">FORCEMOT</t>
  </si>
  <si>
    <t xml:space="preserve">SAMHI</t>
  </si>
  <si>
    <t xml:space="preserve">2%</t>
  </si>
  <si>
    <t xml:space="preserve">GRAVITA</t>
  </si>
  <si>
    <t xml:space="preserve">TIMEX</t>
  </si>
  <si>
    <t xml:space="preserve">FEDFINA</t>
  </si>
  <si>
    <t xml:space="preserve">PRAVEG</t>
  </si>
  <si>
    <t xml:space="preserve">NAVKARCORP</t>
  </si>
  <si>
    <t xml:space="preserve">INDOTECH</t>
  </si>
  <si>
    <t xml:space="preserve">ARKADE</t>
  </si>
  <si>
    <t xml:space="preserve">SAMBHV</t>
  </si>
  <si>
    <t xml:space="preserve">INDIASHLTR</t>
  </si>
  <si>
    <t xml:space="preserve">522101</t>
  </si>
  <si>
    <t xml:space="preserve">PSPPROJECT</t>
  </si>
  <si>
    <t xml:space="preserve">FRONTSP</t>
  </si>
  <si>
    <t xml:space="preserve">CCL</t>
  </si>
  <si>
    <t xml:space="preserve">TARACHAND</t>
  </si>
  <si>
    <t xml:space="preserve">MACPOWER</t>
  </si>
  <si>
    <t xml:space="preserve">532742</t>
  </si>
  <si>
    <t xml:space="preserve">PNGJL</t>
  </si>
  <si>
    <t xml:space="preserve">SBCL</t>
  </si>
  <si>
    <t xml:space="preserve">SGFIN</t>
  </si>
  <si>
    <t xml:space="preserve">Tiny Titans</t>
  </si>
  <si>
    <t xml:space="preserve">543874</t>
  </si>
  <si>
    <t xml:space="preserve">3/5</t>
  </si>
  <si>
    <t xml:space="preserve">543709</t>
  </si>
  <si>
    <t xml:space="preserve">4/5</t>
  </si>
  <si>
    <t xml:space="preserve">AIRFLOA</t>
  </si>
  <si>
    <t xml:space="preserve">SATKARTAR</t>
  </si>
  <si>
    <t xml:space="preserve">ZTECH</t>
  </si>
  <si>
    <t xml:space="preserve">543782</t>
  </si>
  <si>
    <t xml:space="preserve">543920</t>
  </si>
  <si>
    <t xml:space="preserve">SSEGL</t>
  </si>
  <si>
    <t xml:space="preserve">ALUWIND</t>
  </si>
  <si>
    <t xml:space="preserve">DANISH</t>
  </si>
  <si>
    <t xml:space="preserve">WTICAB</t>
  </si>
  <si>
    <t xml:space="preserve">INFOLLION</t>
  </si>
  <si>
    <t xml:space="preserve">Value, 2-3 Yrs, Buy range: 1,150 - 1,775</t>
  </si>
  <si>
    <t xml:space="preserve">GOODLUCK</t>
  </si>
  <si>
    <t xml:space="preserve">GARP, 1-2 Yrs, Buy range: 800 - 1,180, Partial Exit</t>
  </si>
  <si>
    <t xml:space="preserve">Value, 1-2 Yrs, Buy range: 134 - 270, Partial Exit</t>
  </si>
  <si>
    <t xml:space="preserve">NUVAMA</t>
  </si>
  <si>
    <t xml:space="preserve">Value, 2-3 Yrs, Buy range: Upto Rs. 1,250, Partial Exit</t>
  </si>
  <si>
    <t xml:space="preserve">ARMANFIN</t>
  </si>
  <si>
    <t xml:space="preserve">2/5</t>
  </si>
  <si>
    <t xml:space="preserve">Value, 2-3 Yrs, Buy range: Upto Rs. 1,500</t>
  </si>
  <si>
    <t xml:space="preserve">Value, 2-3 Yrs, Buy range: 170 - 215</t>
  </si>
  <si>
    <t xml:space="preserve">INTERARCH</t>
  </si>
  <si>
    <t xml:space="preserve">GARP, 2-3 Yrs, Buy range: Upto Rs. 1,550</t>
  </si>
  <si>
    <t xml:space="preserve">TIMETECHNO</t>
  </si>
  <si>
    <t xml:space="preserve">GARP, 1-2 Yrs, Buy range: Upto Rs. 225</t>
  </si>
  <si>
    <t xml:space="preserve">AARTIPHARM</t>
  </si>
  <si>
    <t xml:space="preserve">Value, 2-3 Yrs, Buy range: Upto Rs. 875</t>
  </si>
  <si>
    <t xml:space="preserve">PONDYOXIDE</t>
  </si>
  <si>
    <t xml:space="preserve">1/5</t>
  </si>
  <si>
    <t xml:space="preserve">Core, 1-2 Yrs, Buy range: Upto Rs. 820, Partial Exit + SL</t>
  </si>
  <si>
    <t xml:space="preserve">Core, 1-2 Yrs, Buy range: Upto Rs. 145</t>
  </si>
  <si>
    <t xml:space="preserve">DEEPAKFERT</t>
  </si>
  <si>
    <t xml:space="preserve">Core, 1-2 Yrs, Buy range: Upto Rs. 1,700</t>
  </si>
  <si>
    <t xml:space="preserve">VISHNU</t>
  </si>
  <si>
    <t xml:space="preserve">Core, 1-2 Yrs, Buy range: Upto Rs. 550</t>
  </si>
  <si>
    <t xml:space="preserve">ADANIPORTS</t>
  </si>
  <si>
    <t xml:space="preserve">Core, 2-3 Yrs, Buy range: Upto Rs. 1,500</t>
  </si>
  <si>
    <t xml:space="preserve">PAYTM</t>
  </si>
  <si>
    <t xml:space="preserve">Core, 2-3 Yrs, Buy range: Upto Rs. 1,370</t>
  </si>
  <si>
    <t xml:space="preserve">SANSERA</t>
  </si>
  <si>
    <t xml:space="preserve">Momentum, 1-2 Yrs, Buy range: Upto Rs. 1,750</t>
  </si>
  <si>
    <t xml:space="preserve">Momentum, 1-2 Yrs, Buy range: Upto Rs. 880</t>
  </si>
  <si>
    <t xml:space="preserve">PRIVISCL</t>
  </si>
  <si>
    <t xml:space="preserve">Core, 1-2 Yrs, Buy range: Upto Rs. 2,850</t>
  </si>
  <si>
    <t xml:space="preserve">GRWRHITECH</t>
  </si>
  <si>
    <t xml:space="preserve">Core, 2-3 Yrs, Buy range: Upto Rs. 4,100</t>
  </si>
  <si>
    <t xml:space="preserve">SAILIFE</t>
  </si>
  <si>
    <t xml:space="preserve">Core, 1-2 Yrs, Buy range: Upto Rs. 940</t>
  </si>
  <si>
    <t xml:space="preserve">NIFTYBEES</t>
  </si>
  <si>
    <t xml:space="preserve">Satellite, 1-2 Yrs, Buy range: Upto Rs. 280</t>
  </si>
  <si>
    <t xml:space="preserve">VENUSPIPES</t>
  </si>
  <si>
    <t xml:space="preserve">Core, 2-3 Yrs, Buy range: Upto Rs. 1,200</t>
  </si>
  <si>
    <t xml:space="preserve">KMEW</t>
  </si>
  <si>
    <t xml:space="preserve">Satellite, 2-3 Yrs, Buy range: Upto Rs. 1,900</t>
  </si>
  <si>
    <t xml:space="preserve">HINDZINC</t>
  </si>
  <si>
    <t xml:space="preserve">Satellite, 1-2 Yrs, Buy range: Upto Rs. 610</t>
  </si>
  <si>
    <t xml:space="preserve">RRKABEL</t>
  </si>
  <si>
    <t xml:space="preserve">Core, 2-3 Yrs, Buy range: Upto Rs. 1,650</t>
  </si>
  <si>
    <t xml:space="preserve">MOTILALOFS</t>
  </si>
  <si>
    <t xml:space="preserve">Core, 2-3 Yrs, Buy range: Upto Rs. 840</t>
  </si>
  <si>
    <t xml:space="preserve">JSLL</t>
  </si>
  <si>
    <t xml:space="preserve">Core, 2-3 Yrs, Buy range: Upto Rs. 790</t>
  </si>
  <si>
    <t xml:space="preserve">Core, 2-3 Yrs, Buy range: 2,700 - 2,800</t>
  </si>
  <si>
    <t xml:space="preserve">VIYASH</t>
  </si>
  <si>
    <t xml:space="preserve">Core, 2-3 Yrs, Buy range: Upto Rs. 270</t>
  </si>
  <si>
    <t xml:space="preserve">THYROCARE</t>
  </si>
  <si>
    <t xml:space="preserve">Core, 2-3 Yrs, Buy range: Upto Rs. 530</t>
  </si>
  <si>
    <t xml:space="preserve">Qty</t>
  </si>
  <si>
    <t xml:space="preserve">Avg Cost</t>
  </si>
  <si>
    <t xml:space="preserve">Invested</t>
  </si>
  <si>
    <t xml:space="preserve">Mkt Value</t>
  </si>
  <si>
    <t xml:space="preserve">P&amp;L (Rs)</t>
  </si>
  <si>
    <t xml:space="preserve">P&amp;L %</t>
  </si>
  <si>
    <t xml:space="preserve">Weight %</t>
  </si>
  <si>
    <t xml:space="preserve">Max single-name weight</t>
  </si>
  <si>
    <t xml:space="preserve">Max sector weight</t>
  </si>
  <si>
    <t xml:space="preserve">Sector exposure</t>
  </si>
  <si>
    <t xml:space="preserve">% Port</t>
  </si>
  <si>
    <t xml:space="preserve">TOTAL</t>
  </si>
  <si>
    <t xml:space="preserve">Holdings filled from your Angel One export (3 Jun 2026). SOIC names are watchlist-only; add Qty/Avg Cost here if you buy them.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</si>
</sst>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#,##0.0"/>
    <numFmt numFmtId="167" formatCode="0%"/>
    <numFmt numFmtId="168" formatCode="0.0%;[RED]\(0.0%\)"/>
    <numFmt numFmtId="169" formatCode="0&quot;/5&quot;"/>
    <numFmt numFmtId="170" formatCode="#,##0"/>
    <numFmt numFmtId="171" formatCode="0%;[RED]\(0%\)"/>
    <numFmt numFmtId="172" formatCode="#,##0.00"/>
    <numFmt numFmtId="173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1B7A43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2E5A87"/>
      <name val="Arial"/>
      <family val="0"/>
      <charset val="1"/>
    </font>
    <font>
      <b val="true"/>
      <sz val="10"/>
      <color rgb="FF7A4FA3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7"/>
        <bgColor rgb="FFDCE6F1"/>
      </patternFill>
    </fill>
    <fill>
      <patternFill patternType="solid">
        <fgColor rgb="FFFFFDE7"/>
        <bgColor rgb="FFFFFFFF"/>
      </patternFill>
    </fill>
    <fill>
      <patternFill patternType="solid">
        <fgColor rgb="FFFFF2A8"/>
        <bgColor rgb="FFFCEFCB"/>
      </patternFill>
    </fill>
    <fill>
      <patternFill patternType="solid">
        <fgColor rgb="FFDCE6F1"/>
        <bgColor rgb="FFD5DB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AF0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7A43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2E5A87"/>
          <bgColor rgb="FF000000"/>
        </patternFill>
      </fill>
    </dxf>
    <dxf>
      <fill>
        <patternFill patternType="solid">
          <fgColor rgb="FF7A4FA3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8D2D2"/>
        </patternFill>
      </fill>
    </dxf>
    <dxf>
      <fill>
        <patternFill>
          <bgColor rgb="FFFCEFCB"/>
        </patternFill>
      </fill>
    </dxf>
    <dxf>
      <font>
        <name val="Arial"/>
        <charset val="1"/>
        <family val="0"/>
        <b val="1"/>
        <color rgb="FF1B7A43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7A4FA3"/>
      <rgbColor rgb="FFFFFDE7"/>
      <rgbColor rgb="FFEAF0F7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1B7A43"/>
      <rgbColor rgb="FF0000FF"/>
      <rgbColor rgb="FF00CCFF"/>
      <rgbColor rgb="FFDCE6F1"/>
      <rgbColor rgb="FFFCEFCB"/>
      <rgbColor rgb="FFFFF2A8"/>
      <rgbColor rgb="FF99CCFF"/>
      <rgbColor rgb="FFFF99CC"/>
      <rgbColor rgb="FFCC99FF"/>
      <rgbColor rgb="FFF8D2D2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B3261E"/>
      <rgbColor rgb="FF993366"/>
      <rgbColor rgb="FF2E5A8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2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/>
    </row>
    <row r="7" customFormat="false" ht="15" hidden="false" customHeight="false" outlineLevel="0" collapsed="false">
      <c r="A7" s="5" t="s">
        <v>6</v>
      </c>
      <c r="B7" s="6" t="s">
        <v>7</v>
      </c>
    </row>
    <row r="8" customFormat="false" ht="15" hidden="false" customHeight="false" outlineLevel="0" collapsed="false">
      <c r="A8" s="5" t="s">
        <v>8</v>
      </c>
      <c r="B8" s="6" t="s">
        <v>9</v>
      </c>
    </row>
    <row r="9" customFormat="false" ht="15" hidden="false" customHeight="false" outlineLevel="0" collapsed="false">
      <c r="A9" s="5" t="s">
        <v>10</v>
      </c>
      <c r="B9" s="6" t="s">
        <v>11</v>
      </c>
    </row>
    <row r="10" customFormat="false" ht="15" hidden="false" customHeight="false" outlineLevel="0" collapsed="false">
      <c r="A10" s="5" t="s">
        <v>12</v>
      </c>
      <c r="B10" s="6" t="s">
        <v>13</v>
      </c>
    </row>
    <row r="12" customFormat="false" ht="43.5" hidden="false" customHeight="true" outlineLevel="0" collapsed="false">
      <c r="A12" s="7" t="s">
        <v>14</v>
      </c>
      <c r="B12" s="7"/>
      <c r="C12" s="7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23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</row>
    <row r="2" customFormat="false" ht="15" hidden="false" customHeight="false" outlineLevel="0" collapsed="false">
      <c r="A2" s="8" t="n">
        <v>1</v>
      </c>
      <c r="B2" s="6" t="s">
        <v>26</v>
      </c>
      <c r="C2" s="6" t="s">
        <v>27</v>
      </c>
      <c r="D2" s="9" t="n">
        <v>46169</v>
      </c>
      <c r="E2" s="10" t="n">
        <v>1125</v>
      </c>
      <c r="F2" s="11" t="n">
        <v>0.05</v>
      </c>
      <c r="G2" s="12" t="s">
        <v>28</v>
      </c>
      <c r="H2" s="10" t="n">
        <f aca="false">IFERROR(xlookup(B2,liveprices!$a:$a,liveprices!$d:$d),1125)</f>
        <v>1125</v>
      </c>
      <c r="I2" s="13" t="n">
        <v>-0.134</v>
      </c>
      <c r="J2" s="13" t="n">
        <f aca="false">IF(E2=0,"",(H2-E2)/E2)</f>
        <v>0</v>
      </c>
      <c r="K2" s="6" t="s">
        <v>29</v>
      </c>
    </row>
    <row r="3" customFormat="false" ht="15" hidden="false" customHeight="false" outlineLevel="0" collapsed="false">
      <c r="A3" s="14" t="n">
        <v>2</v>
      </c>
      <c r="B3" s="15" t="s">
        <v>30</v>
      </c>
      <c r="C3" s="15" t="s">
        <v>31</v>
      </c>
      <c r="D3" s="16" t="n">
        <v>46169</v>
      </c>
      <c r="E3" s="17" t="n">
        <v>362</v>
      </c>
      <c r="F3" s="18" t="n">
        <v>0.03</v>
      </c>
      <c r="G3" s="19" t="s">
        <v>28</v>
      </c>
      <c r="H3" s="17" t="n">
        <f aca="false">IFERROR(xlookup(B3,liveprices!$a:$a,liveprices!$d:$d),362)</f>
        <v>362</v>
      </c>
      <c r="I3" s="20" t="n">
        <v>-0.368</v>
      </c>
      <c r="J3" s="20" t="n">
        <f aca="false">IF(E3=0,"",(H3-E3)/E3)</f>
        <v>0</v>
      </c>
      <c r="K3" s="15" t="s">
        <v>29</v>
      </c>
    </row>
    <row r="4" customFormat="false" ht="15" hidden="false" customHeight="false" outlineLevel="0" collapsed="false">
      <c r="A4" s="8" t="n">
        <v>3</v>
      </c>
      <c r="B4" s="6" t="s">
        <v>32</v>
      </c>
      <c r="C4" s="6" t="s">
        <v>33</v>
      </c>
      <c r="D4" s="9" t="n">
        <v>46119</v>
      </c>
      <c r="E4" s="10" t="n">
        <v>379</v>
      </c>
      <c r="F4" s="11" t="n">
        <v>0.03</v>
      </c>
      <c r="G4" s="21" t="s">
        <v>34</v>
      </c>
      <c r="H4" s="10" t="n">
        <f aca="false">IFERROR(xlookup(B4,liveprices!$a:$a,liveprices!$d:$d),388)</f>
        <v>388</v>
      </c>
      <c r="I4" s="13" t="n">
        <v>0.023</v>
      </c>
      <c r="J4" s="13" t="n">
        <f aca="false">IF(E4=0,"",(H4-E4)/E4)</f>
        <v>0.0237467018469657</v>
      </c>
      <c r="K4" s="6"/>
    </row>
    <row r="5" customFormat="false" ht="15" hidden="false" customHeight="false" outlineLevel="0" collapsed="false">
      <c r="A5" s="14" t="n">
        <v>4</v>
      </c>
      <c r="B5" s="15" t="s">
        <v>35</v>
      </c>
      <c r="C5" s="15" t="s">
        <v>36</v>
      </c>
      <c r="D5" s="16" t="n">
        <v>46083</v>
      </c>
      <c r="E5" s="17" t="n">
        <v>666</v>
      </c>
      <c r="F5" s="18" t="n">
        <v>0.05</v>
      </c>
      <c r="G5" s="22" t="s">
        <v>34</v>
      </c>
      <c r="H5" s="17" t="n">
        <f aca="false">IFERROR(xlookup(B5,liveprices!$a:$a,liveprices!$d:$d),822)</f>
        <v>822</v>
      </c>
      <c r="I5" s="20" t="n">
        <v>0.235</v>
      </c>
      <c r="J5" s="20" t="n">
        <f aca="false">IF(E5=0,"",(H5-E5)/E5)</f>
        <v>0.234234234234234</v>
      </c>
      <c r="K5" s="15"/>
    </row>
    <row r="6" customFormat="false" ht="15" hidden="false" customHeight="false" outlineLevel="0" collapsed="false">
      <c r="A6" s="8" t="n">
        <v>5</v>
      </c>
      <c r="B6" s="6" t="s">
        <v>37</v>
      </c>
      <c r="C6" s="6" t="s">
        <v>38</v>
      </c>
      <c r="D6" s="9" t="n">
        <v>46083</v>
      </c>
      <c r="E6" s="10" t="n">
        <v>2685</v>
      </c>
      <c r="F6" s="11" t="n">
        <v>0.04</v>
      </c>
      <c r="G6" s="21" t="s">
        <v>34</v>
      </c>
      <c r="H6" s="10" t="n">
        <f aca="false">IFERROR(xlookup(B6,liveprices!$a:$a,liveprices!$d:$d),2880)</f>
        <v>2880</v>
      </c>
      <c r="I6" s="13" t="n">
        <v>0.072</v>
      </c>
      <c r="J6" s="13" t="n">
        <f aca="false">IF(E6=0,"",(H6-E6)/E6)</f>
        <v>0.0726256983240224</v>
      </c>
      <c r="K6" s="6"/>
    </row>
    <row r="7" customFormat="false" ht="15" hidden="false" customHeight="false" outlineLevel="0" collapsed="false">
      <c r="A7" s="14" t="n">
        <v>6</v>
      </c>
      <c r="B7" s="15" t="s">
        <v>39</v>
      </c>
      <c r="C7" s="15" t="s">
        <v>40</v>
      </c>
      <c r="D7" s="16" t="n">
        <v>46034</v>
      </c>
      <c r="E7" s="17" t="n">
        <v>1635</v>
      </c>
      <c r="F7" s="18" t="n">
        <v>0.03</v>
      </c>
      <c r="G7" s="22" t="s">
        <v>34</v>
      </c>
      <c r="H7" s="17" t="n">
        <f aca="false">IFERROR(xlookup(B7,liveprices!$a:$a,liveprices!$d:$d),1698)</f>
        <v>1698</v>
      </c>
      <c r="I7" s="20" t="n">
        <v>0.038</v>
      </c>
      <c r="J7" s="20" t="n">
        <f aca="false">IF(E7=0,"",(H7-E7)/E7)</f>
        <v>0.0385321100917431</v>
      </c>
      <c r="K7" s="15"/>
    </row>
    <row r="8" customFormat="false" ht="15" hidden="false" customHeight="false" outlineLevel="0" collapsed="false">
      <c r="A8" s="8" t="n">
        <v>7</v>
      </c>
      <c r="B8" s="6" t="s">
        <v>41</v>
      </c>
      <c r="C8" s="6" t="s">
        <v>42</v>
      </c>
      <c r="D8" s="9" t="n">
        <v>46034</v>
      </c>
      <c r="E8" s="10" t="n">
        <v>1862</v>
      </c>
      <c r="F8" s="11" t="n">
        <v>0.03</v>
      </c>
      <c r="G8" s="21" t="s">
        <v>34</v>
      </c>
      <c r="H8" s="10" t="n">
        <f aca="false">IFERROR(xlookup(B8,liveprices!$a:$a,liveprices!$d:$d),1799)</f>
        <v>1799</v>
      </c>
      <c r="I8" s="13" t="n">
        <v>-0.033</v>
      </c>
      <c r="J8" s="13" t="n">
        <f aca="false">IF(E8=0,"",(H8-E8)/E8)</f>
        <v>-0.0338345864661654</v>
      </c>
      <c r="K8" s="6"/>
    </row>
    <row r="9" customFormat="false" ht="15" hidden="false" customHeight="false" outlineLevel="0" collapsed="false">
      <c r="A9" s="14" t="n">
        <v>8</v>
      </c>
      <c r="B9" s="15" t="s">
        <v>43</v>
      </c>
      <c r="C9" s="15" t="s">
        <v>40</v>
      </c>
      <c r="D9" s="16" t="n">
        <v>46034</v>
      </c>
      <c r="E9" s="17" t="n">
        <v>19000</v>
      </c>
      <c r="F9" s="18" t="n">
        <v>0.03</v>
      </c>
      <c r="G9" s="22" t="s">
        <v>34</v>
      </c>
      <c r="H9" s="17" t="n">
        <f aca="false">IFERROR(xlookup(B9,liveprices!$a:$a,liveprices!$d:$d),20913)</f>
        <v>20913</v>
      </c>
      <c r="I9" s="20" t="n">
        <v>0.1</v>
      </c>
      <c r="J9" s="20" t="n">
        <f aca="false">IF(E9=0,"",(H9-E9)/E9)</f>
        <v>0.100684210526316</v>
      </c>
      <c r="K9" s="15"/>
    </row>
    <row r="10" customFormat="false" ht="15" hidden="false" customHeight="false" outlineLevel="0" collapsed="false">
      <c r="A10" s="8" t="n">
        <v>9</v>
      </c>
      <c r="B10" s="6" t="s">
        <v>44</v>
      </c>
      <c r="C10" s="6" t="s">
        <v>45</v>
      </c>
      <c r="D10" s="9" t="n">
        <v>46034</v>
      </c>
      <c r="E10" s="10" t="n">
        <v>189.5</v>
      </c>
      <c r="F10" s="11" t="n">
        <v>0.02</v>
      </c>
      <c r="G10" s="21" t="s">
        <v>34</v>
      </c>
      <c r="H10" s="10" t="n">
        <f aca="false">IFERROR(xlookup(B10,liveprices!$a:$a,liveprices!$d:$d),163.2)</f>
        <v>163.2</v>
      </c>
      <c r="I10" s="13" t="n">
        <v>-0.138</v>
      </c>
      <c r="J10" s="13" t="n">
        <f aca="false">IF(E10=0,"",(H10-E10)/E10)</f>
        <v>-0.138786279683377</v>
      </c>
      <c r="K10" s="6"/>
    </row>
    <row r="11" customFormat="false" ht="15" hidden="false" customHeight="false" outlineLevel="0" collapsed="false">
      <c r="A11" s="14" t="n">
        <v>10</v>
      </c>
      <c r="B11" s="15" t="s">
        <v>46</v>
      </c>
      <c r="C11" s="15" t="s">
        <v>47</v>
      </c>
      <c r="D11" s="16" t="n">
        <v>46030</v>
      </c>
      <c r="E11" s="17" t="n">
        <v>1736</v>
      </c>
      <c r="F11" s="18" t="n">
        <v>0.03</v>
      </c>
      <c r="G11" s="22" t="s">
        <v>34</v>
      </c>
      <c r="H11" s="17" t="n">
        <f aca="false">IFERROR(xlookup(B11,liveprices!$a:$a,liveprices!$d:$d),1589)</f>
        <v>1589</v>
      </c>
      <c r="I11" s="20" t="n">
        <v>-0.084</v>
      </c>
      <c r="J11" s="20" t="n">
        <f aca="false">IF(E11=0,"",(H11-E11)/E11)</f>
        <v>-0.0846774193548387</v>
      </c>
      <c r="K11" s="15"/>
    </row>
    <row r="12" customFormat="false" ht="15" hidden="false" customHeight="false" outlineLevel="0" collapsed="false">
      <c r="A12" s="8" t="n">
        <v>11</v>
      </c>
      <c r="B12" s="6" t="s">
        <v>48</v>
      </c>
      <c r="C12" s="6" t="s">
        <v>49</v>
      </c>
      <c r="D12" s="9" t="n">
        <v>46030</v>
      </c>
      <c r="E12" s="10" t="n">
        <v>335</v>
      </c>
      <c r="F12" s="11" t="n">
        <v>0.03</v>
      </c>
      <c r="G12" s="21" t="s">
        <v>34</v>
      </c>
      <c r="H12" s="10" t="n">
        <f aca="false">IFERROR(xlookup(B12,liveprices!$a:$a,liveprices!$d:$d),336)</f>
        <v>336</v>
      </c>
      <c r="I12" s="13" t="n">
        <v>0</v>
      </c>
      <c r="J12" s="13" t="n">
        <f aca="false">IF(E12=0,"",(H12-E12)/E12)</f>
        <v>0.00298507462686567</v>
      </c>
      <c r="K12" s="6"/>
    </row>
    <row r="13" customFormat="false" ht="15" hidden="false" customHeight="false" outlineLevel="0" collapsed="false">
      <c r="A13" s="14" t="n">
        <v>12</v>
      </c>
      <c r="B13" s="15" t="s">
        <v>50</v>
      </c>
      <c r="C13" s="15" t="s">
        <v>51</v>
      </c>
      <c r="D13" s="16" t="n">
        <v>46030</v>
      </c>
      <c r="E13" s="17" t="n">
        <v>159</v>
      </c>
      <c r="F13" s="18" t="n">
        <v>0.03</v>
      </c>
      <c r="G13" s="22" t="s">
        <v>34</v>
      </c>
      <c r="H13" s="17" t="n">
        <f aca="false">IFERROR(xlookup(B13,liveprices!$a:$a,liveprices!$d:$d),151)</f>
        <v>151</v>
      </c>
      <c r="I13" s="20" t="n">
        <v>-0.04</v>
      </c>
      <c r="J13" s="20" t="n">
        <f aca="false">IF(E13=0,"",(H13-E13)/E13)</f>
        <v>-0.050314465408805</v>
      </c>
      <c r="K13" s="15"/>
    </row>
    <row r="14" customFormat="false" ht="15" hidden="false" customHeight="false" outlineLevel="0" collapsed="false">
      <c r="A14" s="8" t="n">
        <v>13</v>
      </c>
      <c r="B14" s="6" t="s">
        <v>52</v>
      </c>
      <c r="C14" s="6" t="s">
        <v>53</v>
      </c>
      <c r="D14" s="9" t="n">
        <v>46021</v>
      </c>
      <c r="E14" s="10" t="n">
        <v>315</v>
      </c>
      <c r="F14" s="11" t="n">
        <v>0.03</v>
      </c>
      <c r="G14" s="21" t="s">
        <v>34</v>
      </c>
      <c r="H14" s="10" t="n">
        <f aca="false">IFERROR(xlookup(B14,liveprices!$a:$a,liveprices!$d:$d),260)</f>
        <v>260</v>
      </c>
      <c r="I14" s="13" t="n">
        <v>-0.17</v>
      </c>
      <c r="J14" s="13" t="n">
        <f aca="false">IF(E14=0,"",(H14-E14)/E14)</f>
        <v>-0.174603174603175</v>
      </c>
      <c r="K14" s="6"/>
    </row>
    <row r="15" customFormat="false" ht="15" hidden="false" customHeight="false" outlineLevel="0" collapsed="false">
      <c r="A15" s="14" t="n">
        <v>14</v>
      </c>
      <c r="B15" s="15" t="s">
        <v>54</v>
      </c>
      <c r="C15" s="15" t="s">
        <v>55</v>
      </c>
      <c r="D15" s="16" t="n">
        <v>45986</v>
      </c>
      <c r="E15" s="17" t="n">
        <v>96.4</v>
      </c>
      <c r="F15" s="18" t="n">
        <v>0.03</v>
      </c>
      <c r="G15" s="22" t="s">
        <v>34</v>
      </c>
      <c r="H15" s="17" t="n">
        <f aca="false">IFERROR(xlookup(B15,liveprices!$a:$a,liveprices!$d:$d),106)</f>
        <v>106</v>
      </c>
      <c r="I15" s="20" t="n">
        <v>0.1</v>
      </c>
      <c r="J15" s="20" t="n">
        <f aca="false">IF(E15=0,"",(H15-E15)/E15)</f>
        <v>0.0995850622406638</v>
      </c>
      <c r="K15" s="15"/>
    </row>
    <row r="16" customFormat="false" ht="15" hidden="false" customHeight="false" outlineLevel="0" collapsed="false">
      <c r="A16" s="8" t="n">
        <v>15</v>
      </c>
      <c r="B16" s="6" t="s">
        <v>56</v>
      </c>
      <c r="C16" s="6" t="s">
        <v>27</v>
      </c>
      <c r="D16" s="9" t="n">
        <v>45923</v>
      </c>
      <c r="E16" s="10" t="n">
        <v>1759</v>
      </c>
      <c r="F16" s="11" t="n">
        <v>0.03</v>
      </c>
      <c r="G16" s="21" t="s">
        <v>34</v>
      </c>
      <c r="H16" s="10" t="n">
        <f aca="false">IFERROR(xlookup(B16,liveprices!$a:$a,liveprices!$d:$d),2406)</f>
        <v>2406</v>
      </c>
      <c r="I16" s="13" t="n">
        <v>0.37</v>
      </c>
      <c r="J16" s="13" t="n">
        <f aca="false">IF(E16=0,"",(H16-E16)/E16)</f>
        <v>0.367822626492325</v>
      </c>
      <c r="K16" s="6"/>
    </row>
    <row r="17" customFormat="false" ht="15" hidden="false" customHeight="false" outlineLevel="0" collapsed="false">
      <c r="A17" s="14" t="n">
        <v>16</v>
      </c>
      <c r="B17" s="15" t="s">
        <v>57</v>
      </c>
      <c r="C17" s="15" t="s">
        <v>58</v>
      </c>
      <c r="D17" s="16" t="n">
        <v>45911</v>
      </c>
      <c r="E17" s="17" t="n">
        <v>179</v>
      </c>
      <c r="F17" s="18" t="n">
        <v>0.03</v>
      </c>
      <c r="G17" s="22" t="s">
        <v>34</v>
      </c>
      <c r="H17" s="17" t="n">
        <f aca="false">IFERROR(xlookup(B17,liveprices!$a:$a,liveprices!$d:$d),115)</f>
        <v>115</v>
      </c>
      <c r="I17" s="20" t="n">
        <v>-0.35</v>
      </c>
      <c r="J17" s="20" t="n">
        <f aca="false">IF(E17=0,"",(H17-E17)/E17)</f>
        <v>-0.357541899441341</v>
      </c>
      <c r="K17" s="15"/>
    </row>
    <row r="18" customFormat="false" ht="15" hidden="false" customHeight="false" outlineLevel="0" collapsed="false">
      <c r="A18" s="8" t="n">
        <v>17</v>
      </c>
      <c r="B18" s="6" t="s">
        <v>59</v>
      </c>
      <c r="C18" s="6" t="s">
        <v>60</v>
      </c>
      <c r="D18" s="9" t="n">
        <v>45911</v>
      </c>
      <c r="E18" s="10" t="n">
        <v>114.5</v>
      </c>
      <c r="F18" s="11" t="n">
        <v>0.05</v>
      </c>
      <c r="G18" s="21" t="s">
        <v>34</v>
      </c>
      <c r="H18" s="10" t="n">
        <f aca="false">IFERROR(xlookup(B18,liveprices!$a:$a,liveprices!$d:$d),120)</f>
        <v>120</v>
      </c>
      <c r="I18" s="13" t="n">
        <v>0.048</v>
      </c>
      <c r="J18" s="13" t="n">
        <f aca="false">IF(E18=0,"",(H18-E18)/E18)</f>
        <v>0.0480349344978166</v>
      </c>
      <c r="K18" s="6"/>
    </row>
    <row r="19" customFormat="false" ht="15" hidden="false" customHeight="false" outlineLevel="0" collapsed="false">
      <c r="A19" s="14" t="n">
        <v>18</v>
      </c>
      <c r="B19" s="15" t="s">
        <v>61</v>
      </c>
      <c r="C19" s="15" t="s">
        <v>62</v>
      </c>
      <c r="D19" s="16" t="n">
        <v>45821</v>
      </c>
      <c r="E19" s="17" t="n">
        <v>889</v>
      </c>
      <c r="F19" s="18" t="n">
        <v>0.05</v>
      </c>
      <c r="G19" s="22" t="s">
        <v>34</v>
      </c>
      <c r="H19" s="17" t="n">
        <f aca="false">IFERROR(xlookup(B19,liveprices!$a:$a,liveprices!$d:$d),805)</f>
        <v>805</v>
      </c>
      <c r="I19" s="20" t="n">
        <v>-0.09</v>
      </c>
      <c r="J19" s="20" t="n">
        <f aca="false">IF(E19=0,"",(H19-E19)/E19)</f>
        <v>-0.094488188976378</v>
      </c>
      <c r="K19" s="15"/>
    </row>
    <row r="20" customFormat="false" ht="15" hidden="false" customHeight="false" outlineLevel="0" collapsed="false">
      <c r="A20" s="8" t="n">
        <v>19</v>
      </c>
      <c r="B20" s="6" t="s">
        <v>63</v>
      </c>
      <c r="C20" s="6" t="s">
        <v>64</v>
      </c>
      <c r="D20" s="9" t="n">
        <v>45800</v>
      </c>
      <c r="E20" s="10" t="n">
        <v>454</v>
      </c>
      <c r="F20" s="11" t="n">
        <v>0.05</v>
      </c>
      <c r="G20" s="21" t="s">
        <v>34</v>
      </c>
      <c r="H20" s="10" t="n">
        <f aca="false">IFERROR(xlookup(B20,liveprices!$a:$a,liveprices!$d:$d),525)</f>
        <v>525</v>
      </c>
      <c r="I20" s="13" t="n">
        <v>0.156</v>
      </c>
      <c r="J20" s="13" t="n">
        <f aca="false">IF(E20=0,"",(H20-E20)/E20)</f>
        <v>0.156387665198238</v>
      </c>
      <c r="K20" s="6"/>
    </row>
    <row r="21" customFormat="false" ht="15" hidden="false" customHeight="false" outlineLevel="0" collapsed="false">
      <c r="A21" s="14" t="n">
        <v>20</v>
      </c>
      <c r="B21" s="15" t="s">
        <v>65</v>
      </c>
      <c r="C21" s="15" t="s">
        <v>58</v>
      </c>
      <c r="D21" s="16" t="n">
        <v>45776</v>
      </c>
      <c r="E21" s="17" t="n">
        <v>637</v>
      </c>
      <c r="F21" s="18" t="n">
        <v>0.03</v>
      </c>
      <c r="G21" s="22" t="s">
        <v>34</v>
      </c>
      <c r="H21" s="17" t="n">
        <f aca="false">IFERROR(xlookup(B21,liveprices!$a:$a,liveprices!$d:$d),735)</f>
        <v>735</v>
      </c>
      <c r="I21" s="20" t="n">
        <v>0.16</v>
      </c>
      <c r="J21" s="20" t="n">
        <f aca="false">IF(E21=0,"",(H21-E21)/E21)</f>
        <v>0.153846153846154</v>
      </c>
      <c r="K21" s="15"/>
    </row>
    <row r="22" customFormat="false" ht="15" hidden="false" customHeight="false" outlineLevel="0" collapsed="false">
      <c r="A22" s="8" t="n">
        <v>21</v>
      </c>
      <c r="B22" s="6" t="s">
        <v>66</v>
      </c>
      <c r="C22" s="6" t="s">
        <v>36</v>
      </c>
      <c r="D22" s="9" t="n">
        <v>45770</v>
      </c>
      <c r="E22" s="10" t="n">
        <v>761</v>
      </c>
      <c r="F22" s="11" t="n">
        <v>0.03</v>
      </c>
      <c r="G22" s="21" t="s">
        <v>34</v>
      </c>
      <c r="H22" s="10" t="n">
        <f aca="false">IFERROR(xlookup(B22,liveprices!$a:$a,liveprices!$d:$d),1492)</f>
        <v>1492</v>
      </c>
      <c r="I22" s="13" t="n">
        <v>0.96</v>
      </c>
      <c r="J22" s="13" t="n">
        <f aca="false">IF(E22=0,"",(H22-E22)/E22)</f>
        <v>0.960578186596583</v>
      </c>
      <c r="K22" s="6"/>
    </row>
    <row r="23" customFormat="false" ht="15" hidden="false" customHeight="false" outlineLevel="0" collapsed="false">
      <c r="A23" s="14" t="n">
        <v>22</v>
      </c>
      <c r="B23" s="15" t="s">
        <v>67</v>
      </c>
      <c r="C23" s="15" t="s">
        <v>68</v>
      </c>
      <c r="D23" s="16" t="n">
        <v>45736</v>
      </c>
      <c r="E23" s="17" t="n">
        <v>554</v>
      </c>
      <c r="F23" s="18" t="n">
        <v>0.03</v>
      </c>
      <c r="G23" s="22" t="s">
        <v>34</v>
      </c>
      <c r="H23" s="17" t="n">
        <f aca="false">IFERROR(xlookup(B23,liveprices!$a:$a,liveprices!$d:$d),1112)</f>
        <v>1112</v>
      </c>
      <c r="I23" s="20" t="n">
        <v>1</v>
      </c>
      <c r="J23" s="20" t="n">
        <f aca="false">IF(E23=0,"",(H23-E23)/E23)</f>
        <v>1.0072202166065</v>
      </c>
      <c r="K23" s="15"/>
    </row>
    <row r="24" customFormat="false" ht="15" hidden="false" customHeight="false" outlineLevel="0" collapsed="false">
      <c r="A24" s="8" t="n">
        <v>23</v>
      </c>
      <c r="B24" s="6" t="s">
        <v>69</v>
      </c>
      <c r="C24" s="6" t="s">
        <v>58</v>
      </c>
      <c r="D24" s="9" t="n">
        <v>45736</v>
      </c>
      <c r="E24" s="10" t="n">
        <v>58.3</v>
      </c>
      <c r="F24" s="11" t="n">
        <v>0.05</v>
      </c>
      <c r="G24" s="21" t="s">
        <v>34</v>
      </c>
      <c r="H24" s="10" t="n">
        <f aca="false">IFERROR(xlookup(B24,liveprices!$a:$a,liveprices!$d:$d),65.8)</f>
        <v>65.8</v>
      </c>
      <c r="I24" s="13" t="n">
        <v>0.128</v>
      </c>
      <c r="J24" s="13" t="n">
        <f aca="false">IF(E24=0,"",(H24-E24)/E24)</f>
        <v>0.128644939965695</v>
      </c>
      <c r="K24" s="6"/>
    </row>
    <row r="25" customFormat="false" ht="15" hidden="false" customHeight="false" outlineLevel="0" collapsed="false">
      <c r="A25" s="14" t="n">
        <v>24</v>
      </c>
      <c r="B25" s="15" t="s">
        <v>70</v>
      </c>
      <c r="C25" s="15" t="s">
        <v>64</v>
      </c>
      <c r="D25" s="16" t="n">
        <v>45727</v>
      </c>
      <c r="E25" s="17" t="n">
        <v>689</v>
      </c>
      <c r="F25" s="18" t="n">
        <v>0.03</v>
      </c>
      <c r="G25" s="22" t="s">
        <v>34</v>
      </c>
      <c r="H25" s="17" t="n">
        <f aca="false">IFERROR(xlookup(B25,liveprices!$a:$a,liveprices!$d:$d),1148)</f>
        <v>1148</v>
      </c>
      <c r="I25" s="20" t="n">
        <v>0.667</v>
      </c>
      <c r="J25" s="20" t="n">
        <f aca="false">IF(E25=0,"",(H25-E25)/E25)</f>
        <v>0.666182873730044</v>
      </c>
      <c r="K25" s="15"/>
    </row>
    <row r="26" customFormat="false" ht="15" hidden="false" customHeight="false" outlineLevel="0" collapsed="false">
      <c r="A26" s="8" t="n">
        <v>25</v>
      </c>
      <c r="B26" s="6" t="s">
        <v>71</v>
      </c>
      <c r="C26" s="6" t="s">
        <v>72</v>
      </c>
      <c r="D26" s="9" t="n">
        <v>45727</v>
      </c>
      <c r="E26" s="10" t="n">
        <v>521</v>
      </c>
      <c r="F26" s="11" t="n">
        <v>0.03</v>
      </c>
      <c r="G26" s="21" t="s">
        <v>34</v>
      </c>
      <c r="H26" s="10" t="n">
        <f aca="false">IFERROR(xlookup(B26,liveprices!$a:$a,liveprices!$d:$d),481)</f>
        <v>481</v>
      </c>
      <c r="I26" s="13" t="n">
        <v>-0.076</v>
      </c>
      <c r="J26" s="13" t="n">
        <f aca="false">IF(E26=0,"",(H26-E26)/E26)</f>
        <v>-0.0767754318618042</v>
      </c>
      <c r="K26" s="6"/>
    </row>
    <row r="27" customFormat="false" ht="15" hidden="false" customHeight="false" outlineLevel="0" collapsed="false">
      <c r="A27" s="14" t="n">
        <v>26</v>
      </c>
      <c r="B27" s="15" t="s">
        <v>73</v>
      </c>
      <c r="C27" s="15" t="s">
        <v>74</v>
      </c>
      <c r="D27" s="16" t="n">
        <v>45726</v>
      </c>
      <c r="E27" s="17" t="n">
        <v>543.6</v>
      </c>
      <c r="F27" s="18" t="n">
        <v>0.05</v>
      </c>
      <c r="G27" s="22" t="s">
        <v>34</v>
      </c>
      <c r="H27" s="17" t="n">
        <f aca="false">IFERROR(xlookup(B27,liveprices!$a:$a,liveprices!$d:$d),670)</f>
        <v>670</v>
      </c>
      <c r="I27" s="20" t="n">
        <v>0.232</v>
      </c>
      <c r="J27" s="20" t="n">
        <f aca="false">IF(E27=0,"",(H27-E27)/E27)</f>
        <v>0.23252391464312</v>
      </c>
      <c r="K27" s="15"/>
    </row>
    <row r="28" customFormat="false" ht="15" hidden="false" customHeight="false" outlineLevel="0" collapsed="false">
      <c r="A28" s="8" t="n">
        <v>27</v>
      </c>
      <c r="B28" s="6" t="s">
        <v>75</v>
      </c>
      <c r="C28" s="6" t="s">
        <v>60</v>
      </c>
      <c r="D28" s="9" t="n">
        <v>45726</v>
      </c>
      <c r="E28" s="10" t="n">
        <v>474</v>
      </c>
      <c r="F28" s="11" t="n">
        <v>0.03</v>
      </c>
      <c r="G28" s="21" t="s">
        <v>34</v>
      </c>
      <c r="H28" s="10" t="n">
        <f aca="false">IFERROR(xlookup(B28,liveprices!$a:$a,liveprices!$d:$d),530)</f>
        <v>530</v>
      </c>
      <c r="I28" s="13" t="n">
        <v>0.122</v>
      </c>
      <c r="J28" s="13" t="n">
        <f aca="false">IF(E28=0,"",(H28-E28)/E28)</f>
        <v>0.118143459915612</v>
      </c>
      <c r="K28" s="6"/>
    </row>
    <row r="29" customFormat="false" ht="15" hidden="false" customHeight="false" outlineLevel="0" collapsed="false">
      <c r="A29" s="14" t="n">
        <v>28</v>
      </c>
      <c r="B29" s="15" t="s">
        <v>76</v>
      </c>
      <c r="C29" s="15" t="s">
        <v>62</v>
      </c>
      <c r="D29" s="16" t="n">
        <v>45726</v>
      </c>
      <c r="E29" s="17" t="n">
        <v>343</v>
      </c>
      <c r="F29" s="18" t="n">
        <v>0.05</v>
      </c>
      <c r="G29" s="22" t="s">
        <v>34</v>
      </c>
      <c r="H29" s="17" t="n">
        <f aca="false">IFERROR(xlookup(B29,liveprices!$a:$a,liveprices!$d:$d),547)</f>
        <v>547</v>
      </c>
      <c r="I29" s="20" t="n">
        <v>0.59</v>
      </c>
      <c r="J29" s="20" t="n">
        <f aca="false">IF(E29=0,"",(H29-E29)/E29)</f>
        <v>0.594752186588921</v>
      </c>
      <c r="K29" s="15"/>
    </row>
    <row r="30" customFormat="false" ht="15" hidden="false" customHeight="false" outlineLevel="0" collapsed="false">
      <c r="E30" s="23" t="s">
        <v>77</v>
      </c>
      <c r="F30" s="24" t="n">
        <f aca="false">SUM(F2:F29)</f>
        <v>1</v>
      </c>
    </row>
  </sheetData>
  <autoFilter ref="A1:K29"/>
  <conditionalFormatting sqref="I2:I29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29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23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78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</row>
    <row r="2" customFormat="false" ht="15" hidden="false" customHeight="false" outlineLevel="0" collapsed="false">
      <c r="A2" s="8" t="n">
        <v>1</v>
      </c>
      <c r="B2" s="6" t="s">
        <v>79</v>
      </c>
      <c r="C2" s="6" t="s">
        <v>80</v>
      </c>
      <c r="D2" s="9" t="n">
        <v>46120</v>
      </c>
      <c r="E2" s="10" t="n">
        <v>74.5</v>
      </c>
      <c r="F2" s="25" t="n">
        <v>3</v>
      </c>
      <c r="G2" s="21" t="s">
        <v>34</v>
      </c>
      <c r="H2" s="10" t="n">
        <f aca="false">IFERROR(xlookup(B2,liveprices!$a:$a,liveprices!$d:$d),86)</f>
        <v>86</v>
      </c>
      <c r="I2" s="13" t="n">
        <v>0.154</v>
      </c>
      <c r="J2" s="13" t="n">
        <f aca="false">IF(E2=0,"",(H2-E2)/E2)</f>
        <v>0.154362416107383</v>
      </c>
      <c r="K2" s="6"/>
    </row>
    <row r="3" customFormat="false" ht="15" hidden="false" customHeight="false" outlineLevel="0" collapsed="false">
      <c r="A3" s="14" t="n">
        <v>2</v>
      </c>
      <c r="B3" s="15" t="s">
        <v>81</v>
      </c>
      <c r="C3" s="15" t="s">
        <v>33</v>
      </c>
      <c r="D3" s="16" t="n">
        <v>46043</v>
      </c>
      <c r="E3" s="17" t="n">
        <v>968</v>
      </c>
      <c r="F3" s="26" t="n">
        <v>4</v>
      </c>
      <c r="G3" s="22" t="s">
        <v>34</v>
      </c>
      <c r="H3" s="17" t="n">
        <f aca="false">IFERROR(xlookup(B3,liveprices!$a:$a,liveprices!$d:$d),863)</f>
        <v>863</v>
      </c>
      <c r="I3" s="20" t="n">
        <v>-0.108</v>
      </c>
      <c r="J3" s="20" t="n">
        <f aca="false">IF(E3=0,"",(H3-E3)/E3)</f>
        <v>-0.108471074380165</v>
      </c>
      <c r="K3" s="15"/>
    </row>
    <row r="4" customFormat="false" ht="15" hidden="false" customHeight="false" outlineLevel="0" collapsed="false">
      <c r="A4" s="8" t="n">
        <v>3</v>
      </c>
      <c r="B4" s="6" t="s">
        <v>82</v>
      </c>
      <c r="C4" s="6" t="s">
        <v>83</v>
      </c>
      <c r="D4" s="9" t="n">
        <v>46038</v>
      </c>
      <c r="E4" s="10" t="n">
        <v>162</v>
      </c>
      <c r="F4" s="25" t="n">
        <v>3</v>
      </c>
      <c r="G4" s="21" t="s">
        <v>34</v>
      </c>
      <c r="H4" s="10" t="n">
        <f aca="false">IFERROR(xlookup(B4,liveprices!$a:$a,liveprices!$d:$d),156)</f>
        <v>156</v>
      </c>
      <c r="I4" s="13" t="n">
        <v>-0.037</v>
      </c>
      <c r="J4" s="13" t="n">
        <f aca="false">IF(E4=0,"",(H4-E4)/E4)</f>
        <v>-0.037037037037037</v>
      </c>
      <c r="K4" s="6"/>
    </row>
    <row r="5" customFormat="false" ht="15" hidden="false" customHeight="false" outlineLevel="0" collapsed="false">
      <c r="A5" s="14" t="n">
        <v>4</v>
      </c>
      <c r="B5" s="15" t="s">
        <v>84</v>
      </c>
      <c r="C5" s="15" t="s">
        <v>36</v>
      </c>
      <c r="D5" s="16" t="n">
        <v>46034</v>
      </c>
      <c r="E5" s="17" t="n">
        <v>295</v>
      </c>
      <c r="F5" s="26" t="n">
        <v>4</v>
      </c>
      <c r="G5" s="22" t="s">
        <v>34</v>
      </c>
      <c r="H5" s="17" t="n">
        <f aca="false">IFERROR(xlookup(B5,liveprices!$a:$a,liveprices!$d:$d),329)</f>
        <v>329</v>
      </c>
      <c r="I5" s="20" t="n">
        <v>0.115</v>
      </c>
      <c r="J5" s="20" t="n">
        <f aca="false">IF(E5=0,"",(H5-E5)/E5)</f>
        <v>0.115254237288136</v>
      </c>
      <c r="K5" s="15"/>
    </row>
    <row r="6" customFormat="false" ht="15" hidden="false" customHeight="false" outlineLevel="0" collapsed="false">
      <c r="A6" s="8" t="n">
        <v>5</v>
      </c>
      <c r="B6" s="6" t="s">
        <v>85</v>
      </c>
      <c r="C6" s="6" t="s">
        <v>86</v>
      </c>
      <c r="D6" s="9" t="n">
        <v>46003</v>
      </c>
      <c r="E6" s="10" t="n">
        <v>160</v>
      </c>
      <c r="F6" s="25" t="n">
        <v>3</v>
      </c>
      <c r="G6" s="21" t="s">
        <v>34</v>
      </c>
      <c r="H6" s="10" t="n">
        <f aca="false">IFERROR(xlookup(B6,liveprices!$a:$a,liveprices!$d:$d),207)</f>
        <v>207</v>
      </c>
      <c r="I6" s="13" t="n">
        <v>0.293</v>
      </c>
      <c r="J6" s="13" t="n">
        <f aca="false">IF(E6=0,"",(H6-E6)/E6)</f>
        <v>0.29375</v>
      </c>
      <c r="K6" s="6"/>
    </row>
    <row r="7" customFormat="false" ht="15" hidden="false" customHeight="false" outlineLevel="0" collapsed="false">
      <c r="A7" s="14" t="n">
        <v>6</v>
      </c>
      <c r="B7" s="15" t="s">
        <v>87</v>
      </c>
      <c r="C7" s="15" t="s">
        <v>88</v>
      </c>
      <c r="D7" s="16" t="n">
        <v>45999</v>
      </c>
      <c r="E7" s="17" t="n">
        <v>515</v>
      </c>
      <c r="F7" s="26" t="n">
        <v>3</v>
      </c>
      <c r="G7" s="22" t="s">
        <v>34</v>
      </c>
      <c r="H7" s="17" t="n">
        <f aca="false">IFERROR(xlookup(B7,liveprices!$a:$a,liveprices!$d:$d),601)</f>
        <v>601</v>
      </c>
      <c r="I7" s="20" t="n">
        <v>0.167</v>
      </c>
      <c r="J7" s="20" t="n">
        <f aca="false">IF(E7=0,"",(H7-E7)/E7)</f>
        <v>0.166990291262136</v>
      </c>
      <c r="K7" s="15"/>
    </row>
    <row r="8" customFormat="false" ht="15" hidden="false" customHeight="false" outlineLevel="0" collapsed="false">
      <c r="A8" s="8" t="n">
        <v>7</v>
      </c>
      <c r="B8" s="6" t="s">
        <v>89</v>
      </c>
      <c r="C8" s="6" t="s">
        <v>64</v>
      </c>
      <c r="D8" s="9" t="n">
        <v>45950</v>
      </c>
      <c r="E8" s="10" t="n">
        <v>395.8</v>
      </c>
      <c r="F8" s="25" t="n">
        <v>3</v>
      </c>
      <c r="G8" s="21" t="s">
        <v>34</v>
      </c>
      <c r="H8" s="10" t="n">
        <f aca="false">IFERROR(xlookup(B8,liveprices!$a:$a,liveprices!$d:$d),430)</f>
        <v>430</v>
      </c>
      <c r="I8" s="13" t="n">
        <v>0.088</v>
      </c>
      <c r="J8" s="13" t="n">
        <f aca="false">IF(E8=0,"",(H8-E8)/E8)</f>
        <v>0.0864072764022233</v>
      </c>
      <c r="K8" s="6"/>
    </row>
    <row r="9" customFormat="false" ht="15" hidden="false" customHeight="false" outlineLevel="0" collapsed="false">
      <c r="A9" s="14" t="n">
        <v>8</v>
      </c>
      <c r="B9" s="15" t="s">
        <v>90</v>
      </c>
      <c r="C9" s="15" t="s">
        <v>91</v>
      </c>
      <c r="D9" s="16" t="n">
        <v>45944</v>
      </c>
      <c r="E9" s="17" t="n">
        <v>617</v>
      </c>
      <c r="F9" s="26" t="n">
        <v>3</v>
      </c>
      <c r="G9" s="22" t="s">
        <v>34</v>
      </c>
      <c r="H9" s="17" t="n">
        <f aca="false">IFERROR(xlookup(B9,liveprices!$a:$a,liveprices!$d:$d),770)</f>
        <v>770</v>
      </c>
      <c r="I9" s="20" t="n">
        <v>0.248</v>
      </c>
      <c r="J9" s="20" t="n">
        <f aca="false">IF(E9=0,"",(H9-E9)/E9)</f>
        <v>0.247974068071313</v>
      </c>
      <c r="K9" s="15"/>
    </row>
    <row r="10" customFormat="false" ht="15" hidden="false" customHeight="false" outlineLevel="0" collapsed="false">
      <c r="A10" s="8" t="n">
        <v>9</v>
      </c>
      <c r="B10" s="6" t="s">
        <v>92</v>
      </c>
      <c r="C10" s="6" t="s">
        <v>58</v>
      </c>
      <c r="D10" s="9" t="n">
        <v>45943</v>
      </c>
      <c r="E10" s="10" t="n">
        <v>465</v>
      </c>
      <c r="F10" s="25" t="n">
        <v>3</v>
      </c>
      <c r="G10" s="21" t="s">
        <v>34</v>
      </c>
      <c r="H10" s="10" t="n">
        <f aca="false">IFERROR(xlookup(B10,liveprices!$a:$a,liveprices!$d:$d),409)</f>
        <v>409</v>
      </c>
      <c r="I10" s="13" t="n">
        <v>-0.12</v>
      </c>
      <c r="J10" s="13" t="n">
        <f aca="false">IF(E10=0,"",(H10-E10)/E10)</f>
        <v>-0.120430107526882</v>
      </c>
      <c r="K10" s="6"/>
    </row>
    <row r="11" customFormat="false" ht="15" hidden="false" customHeight="false" outlineLevel="0" collapsed="false">
      <c r="A11" s="14" t="n">
        <v>10</v>
      </c>
      <c r="B11" s="15" t="s">
        <v>93</v>
      </c>
      <c r="C11" s="15" t="s">
        <v>60</v>
      </c>
      <c r="D11" s="16" t="n">
        <v>45943</v>
      </c>
      <c r="E11" s="17" t="n">
        <v>87</v>
      </c>
      <c r="F11" s="26" t="n">
        <v>3</v>
      </c>
      <c r="G11" s="22" t="s">
        <v>34</v>
      </c>
      <c r="H11" s="17" t="n">
        <f aca="false">IFERROR(xlookup(B11,liveprices!$a:$a,liveprices!$d:$d),57)</f>
        <v>57</v>
      </c>
      <c r="I11" s="20" t="n">
        <v>-0.344</v>
      </c>
      <c r="J11" s="20" t="n">
        <f aca="false">IF(E11=0,"",(H11-E11)/E11)</f>
        <v>-0.344827586206897</v>
      </c>
      <c r="K11" s="15"/>
    </row>
    <row r="12" customFormat="false" ht="15" hidden="false" customHeight="false" outlineLevel="0" collapsed="false">
      <c r="A12" s="8" t="n">
        <v>11</v>
      </c>
      <c r="B12" s="6" t="s">
        <v>94</v>
      </c>
      <c r="C12" s="6" t="s">
        <v>27</v>
      </c>
      <c r="D12" s="9" t="n">
        <v>45908</v>
      </c>
      <c r="E12" s="10" t="n">
        <v>897</v>
      </c>
      <c r="F12" s="25" t="n">
        <v>4</v>
      </c>
      <c r="G12" s="21" t="s">
        <v>34</v>
      </c>
      <c r="H12" s="10" t="n">
        <f aca="false">IFERROR(xlookup(B12,liveprices!$a:$a,liveprices!$d:$d),866)</f>
        <v>866</v>
      </c>
      <c r="I12" s="13" t="n">
        <v>-0.034</v>
      </c>
      <c r="J12" s="13" t="n">
        <f aca="false">IF(E12=0,"",(H12-E12)/E12)</f>
        <v>-0.0345596432552954</v>
      </c>
      <c r="K12" s="6"/>
    </row>
    <row r="13" customFormat="false" ht="15" hidden="false" customHeight="false" outlineLevel="0" collapsed="false">
      <c r="A13" s="14" t="n">
        <v>12</v>
      </c>
      <c r="B13" s="15" t="s">
        <v>95</v>
      </c>
      <c r="C13" s="15" t="s">
        <v>96</v>
      </c>
      <c r="D13" s="16" t="n">
        <v>45895</v>
      </c>
      <c r="E13" s="17" t="n">
        <v>170</v>
      </c>
      <c r="F13" s="26" t="n">
        <v>3</v>
      </c>
      <c r="G13" s="22" t="s">
        <v>34</v>
      </c>
      <c r="H13" s="17" t="n">
        <f aca="false">IFERROR(xlookup(B13,liveprices!$a:$a,liveprices!$d:$d),106)</f>
        <v>106</v>
      </c>
      <c r="I13" s="20" t="n">
        <v>-0.376</v>
      </c>
      <c r="J13" s="20" t="n">
        <f aca="false">IF(E13=0,"",(H13-E13)/E13)</f>
        <v>-0.376470588235294</v>
      </c>
      <c r="K13" s="15"/>
    </row>
    <row r="14" customFormat="false" ht="15" hidden="false" customHeight="false" outlineLevel="0" collapsed="false">
      <c r="A14" s="8" t="n">
        <v>13</v>
      </c>
      <c r="B14" s="6" t="s">
        <v>97</v>
      </c>
      <c r="C14" s="6" t="s">
        <v>96</v>
      </c>
      <c r="D14" s="9" t="n">
        <v>45895</v>
      </c>
      <c r="E14" s="10" t="n">
        <v>440</v>
      </c>
      <c r="F14" s="25" t="n">
        <v>4</v>
      </c>
      <c r="G14" s="21" t="s">
        <v>34</v>
      </c>
      <c r="H14" s="10" t="n">
        <f aca="false">IFERROR(xlookup(B14,liveprices!$a:$a,liveprices!$d:$d),245)</f>
        <v>245</v>
      </c>
      <c r="I14" s="13" t="n">
        <v>-0.443</v>
      </c>
      <c r="J14" s="13" t="n">
        <f aca="false">IF(E14=0,"",(H14-E14)/E14)</f>
        <v>-0.443181818181818</v>
      </c>
      <c r="K14" s="6"/>
    </row>
  </sheetData>
  <autoFilter ref="A1:K14"/>
  <conditionalFormatting sqref="I2:I14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14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22"/>
  </cols>
  <sheetData>
    <row r="1" customFormat="false" ht="23.85" hidden="false" customHeight="false" outlineLevel="0" collapsed="false">
      <c r="A1" s="4" t="s">
        <v>15</v>
      </c>
      <c r="B1" s="4" t="s">
        <v>98</v>
      </c>
      <c r="C1" s="4" t="s">
        <v>99</v>
      </c>
      <c r="D1" s="4" t="s">
        <v>18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  <c r="J1" s="4" t="s">
        <v>105</v>
      </c>
      <c r="K1" s="4" t="s">
        <v>24</v>
      </c>
      <c r="L1" s="4" t="s">
        <v>25</v>
      </c>
    </row>
    <row r="2" customFormat="false" ht="15" hidden="false" customHeight="false" outlineLevel="0" collapsed="false">
      <c r="A2" s="8" t="n">
        <v>1</v>
      </c>
      <c r="B2" s="6" t="s">
        <v>106</v>
      </c>
      <c r="C2" s="6" t="s">
        <v>107</v>
      </c>
      <c r="D2" s="9" t="n">
        <v>45180</v>
      </c>
      <c r="E2" s="27" t="n">
        <v>1021</v>
      </c>
      <c r="F2" s="6" t="s">
        <v>108</v>
      </c>
      <c r="G2" s="25" t="n">
        <v>4</v>
      </c>
      <c r="H2" s="6" t="s">
        <v>109</v>
      </c>
      <c r="I2" s="6" t="s">
        <v>110</v>
      </c>
      <c r="J2" s="10" t="n">
        <f aca="false">IFERROR(xlookup(B2,liveprices!$a:$a,liveprices!$d:$d),1021)</f>
        <v>1021</v>
      </c>
      <c r="K2" s="13" t="n">
        <f aca="false">IF(E2=0,"",(J2-E2)/E2)</f>
        <v>0</v>
      </c>
      <c r="L2" s="6"/>
    </row>
    <row r="3" customFormat="false" ht="15" hidden="false" customHeight="false" outlineLevel="0" collapsed="false">
      <c r="A3" s="14" t="n">
        <v>2</v>
      </c>
      <c r="B3" s="15" t="s">
        <v>111</v>
      </c>
      <c r="C3" s="15" t="s">
        <v>112</v>
      </c>
      <c r="D3" s="16" t="n">
        <v>45204</v>
      </c>
      <c r="E3" s="28" t="n">
        <v>680</v>
      </c>
      <c r="F3" s="15" t="s">
        <v>113</v>
      </c>
      <c r="G3" s="26" t="n">
        <v>3</v>
      </c>
      <c r="H3" s="15" t="s">
        <v>114</v>
      </c>
      <c r="I3" s="15" t="s">
        <v>115</v>
      </c>
      <c r="J3" s="17" t="n">
        <f aca="false">IFERROR(xlookup(B3,liveprices!$a:$a,liveprices!$d:$d),680)</f>
        <v>680</v>
      </c>
      <c r="K3" s="20" t="n">
        <f aca="false">IF(E3=0,"",(J3-E3)/E3)</f>
        <v>0</v>
      </c>
      <c r="L3" s="15" t="s">
        <v>116</v>
      </c>
    </row>
    <row r="4" customFormat="false" ht="15" hidden="false" customHeight="false" outlineLevel="0" collapsed="false">
      <c r="A4" s="8" t="n">
        <v>3</v>
      </c>
      <c r="B4" s="6" t="s">
        <v>117</v>
      </c>
      <c r="C4" s="6" t="s">
        <v>118</v>
      </c>
      <c r="D4" s="9" t="n">
        <v>45224</v>
      </c>
      <c r="E4" s="27" t="n">
        <v>122</v>
      </c>
      <c r="F4" s="6" t="s">
        <v>119</v>
      </c>
      <c r="G4" s="25" t="n">
        <v>3</v>
      </c>
      <c r="H4" s="6" t="s">
        <v>109</v>
      </c>
      <c r="I4" s="6" t="s">
        <v>115</v>
      </c>
      <c r="J4" s="10" t="n">
        <f aca="false">IFERROR(xlookup(B4,liveprices!$a:$a,liveprices!$d:$d),122)</f>
        <v>122</v>
      </c>
      <c r="K4" s="13" t="n">
        <f aca="false">IF(E4=0,"",(J4-E4)/E4)</f>
        <v>0</v>
      </c>
      <c r="L4" s="6" t="s">
        <v>116</v>
      </c>
    </row>
    <row r="5" customFormat="false" ht="15" hidden="false" customHeight="false" outlineLevel="0" collapsed="false">
      <c r="A5" s="14" t="n">
        <v>4</v>
      </c>
      <c r="B5" s="15" t="s">
        <v>120</v>
      </c>
      <c r="C5" s="15" t="s">
        <v>121</v>
      </c>
      <c r="D5" s="16" t="n">
        <v>45264</v>
      </c>
      <c r="E5" s="28" t="n">
        <v>676</v>
      </c>
      <c r="F5" s="15" t="s">
        <v>122</v>
      </c>
      <c r="G5" s="26" t="n">
        <v>3</v>
      </c>
      <c r="H5" s="15" t="s">
        <v>109</v>
      </c>
      <c r="I5" s="15" t="s">
        <v>110</v>
      </c>
      <c r="J5" s="17" t="n">
        <f aca="false">IFERROR(xlookup(B5,liveprices!$a:$a,liveprices!$d:$d),676)</f>
        <v>676</v>
      </c>
      <c r="K5" s="20" t="n">
        <f aca="false">IF(E5=0,"",(J5-E5)/E5)</f>
        <v>0</v>
      </c>
      <c r="L5" s="15" t="s">
        <v>116</v>
      </c>
    </row>
    <row r="6" customFormat="false" ht="15" hidden="false" customHeight="false" outlineLevel="0" collapsed="false">
      <c r="A6" s="8" t="n">
        <v>5</v>
      </c>
      <c r="B6" s="6" t="s">
        <v>123</v>
      </c>
      <c r="C6" s="6" t="s">
        <v>124</v>
      </c>
      <c r="D6" s="9" t="n">
        <v>45281</v>
      </c>
      <c r="E6" s="27" t="n">
        <v>2487</v>
      </c>
      <c r="F6" s="6" t="s">
        <v>125</v>
      </c>
      <c r="G6" s="25" t="n">
        <v>2</v>
      </c>
      <c r="H6" s="6" t="s">
        <v>109</v>
      </c>
      <c r="I6" s="6" t="s">
        <v>110</v>
      </c>
      <c r="J6" s="10" t="n">
        <f aca="false">IFERROR(xlookup(B6,liveprices!$a:$a,liveprices!$d:$d),2487)</f>
        <v>2487</v>
      </c>
      <c r="K6" s="13" t="n">
        <f aca="false">IF(E6=0,"",(J6-E6)/E6)</f>
        <v>0</v>
      </c>
      <c r="L6" s="6"/>
    </row>
    <row r="7" customFormat="false" ht="15" hidden="false" customHeight="false" outlineLevel="0" collapsed="false">
      <c r="A7" s="14" t="n">
        <v>6</v>
      </c>
      <c r="B7" s="15" t="s">
        <v>44</v>
      </c>
      <c r="C7" s="15" t="s">
        <v>126</v>
      </c>
      <c r="D7" s="16" t="n">
        <v>45427</v>
      </c>
      <c r="E7" s="28" t="n">
        <v>200</v>
      </c>
      <c r="F7" s="15" t="s">
        <v>127</v>
      </c>
      <c r="G7" s="26" t="n">
        <v>4</v>
      </c>
      <c r="H7" s="15" t="s">
        <v>109</v>
      </c>
      <c r="I7" s="15" t="s">
        <v>110</v>
      </c>
      <c r="J7" s="17" t="n">
        <f aca="false">IFERROR(xlookup(B7,liveprices!$a:$a,liveprices!$d:$d),200)</f>
        <v>200</v>
      </c>
      <c r="K7" s="20" t="n">
        <f aca="false">IF(E7=0,"",(J7-E7)/E7)</f>
        <v>0</v>
      </c>
      <c r="L7" s="15"/>
    </row>
    <row r="8" customFormat="false" ht="15" hidden="false" customHeight="false" outlineLevel="0" collapsed="false">
      <c r="A8" s="8" t="n">
        <v>7</v>
      </c>
      <c r="B8" s="6" t="s">
        <v>128</v>
      </c>
      <c r="C8" s="6" t="s">
        <v>112</v>
      </c>
      <c r="D8" s="9" t="n">
        <v>45555</v>
      </c>
      <c r="E8" s="27" t="n">
        <v>1250</v>
      </c>
      <c r="F8" s="6" t="s">
        <v>129</v>
      </c>
      <c r="G8" s="25" t="n">
        <v>3</v>
      </c>
      <c r="H8" s="6" t="s">
        <v>114</v>
      </c>
      <c r="I8" s="6" t="s">
        <v>110</v>
      </c>
      <c r="J8" s="10" t="n">
        <f aca="false">IFERROR(xlookup(B8,liveprices!$a:$a,liveprices!$d:$d),1250)</f>
        <v>1250</v>
      </c>
      <c r="K8" s="13" t="n">
        <f aca="false">IF(E8=0,"",(J8-E8)/E8)</f>
        <v>0</v>
      </c>
      <c r="L8" s="6"/>
    </row>
    <row r="9" customFormat="false" ht="15" hidden="false" customHeight="false" outlineLevel="0" collapsed="false">
      <c r="A9" s="14" t="n">
        <v>8</v>
      </c>
      <c r="B9" s="15" t="s">
        <v>130</v>
      </c>
      <c r="C9" s="15" t="s">
        <v>112</v>
      </c>
      <c r="D9" s="16" t="n">
        <v>45670</v>
      </c>
      <c r="E9" s="28" t="n">
        <v>206</v>
      </c>
      <c r="F9" s="15" t="s">
        <v>131</v>
      </c>
      <c r="G9" s="26" t="n">
        <v>3</v>
      </c>
      <c r="H9" s="15" t="s">
        <v>114</v>
      </c>
      <c r="I9" s="15" t="s">
        <v>115</v>
      </c>
      <c r="J9" s="17" t="n">
        <f aca="false">IFERROR(xlookup(B9,liveprices!$a:$a,liveprices!$d:$d),206)</f>
        <v>206</v>
      </c>
      <c r="K9" s="20" t="n">
        <f aca="false">IF(E9=0,"",(J9-E9)/E9)</f>
        <v>0</v>
      </c>
      <c r="L9" s="15"/>
    </row>
    <row r="10" customFormat="false" ht="15" hidden="false" customHeight="false" outlineLevel="0" collapsed="false">
      <c r="A10" s="8" t="n">
        <v>9</v>
      </c>
      <c r="B10" s="6" t="s">
        <v>132</v>
      </c>
      <c r="C10" s="6" t="s">
        <v>133</v>
      </c>
      <c r="D10" s="9" t="n">
        <v>45699</v>
      </c>
      <c r="E10" s="27" t="n">
        <v>731</v>
      </c>
      <c r="F10" s="6" t="s">
        <v>134</v>
      </c>
      <c r="G10" s="25" t="n">
        <v>3</v>
      </c>
      <c r="H10" s="6" t="s">
        <v>109</v>
      </c>
      <c r="I10" s="6" t="s">
        <v>110</v>
      </c>
      <c r="J10" s="10" t="n">
        <f aca="false">IFERROR(xlookup(B10,liveprices!$a:$a,liveprices!$d:$d),731)</f>
        <v>731</v>
      </c>
      <c r="K10" s="13" t="n">
        <f aca="false">IF(E10=0,"",(J10-E10)/E10)</f>
        <v>0</v>
      </c>
      <c r="L10" s="6"/>
    </row>
    <row r="11" customFormat="false" ht="15" hidden="false" customHeight="false" outlineLevel="0" collapsed="false">
      <c r="A11" s="14" t="n">
        <v>10</v>
      </c>
      <c r="B11" s="15" t="s">
        <v>135</v>
      </c>
      <c r="C11" s="15" t="s">
        <v>47</v>
      </c>
      <c r="D11" s="16" t="n">
        <v>45834</v>
      </c>
      <c r="E11" s="28" t="n">
        <v>809</v>
      </c>
      <c r="F11" s="15" t="s">
        <v>136</v>
      </c>
      <c r="G11" s="26" t="n">
        <v>1</v>
      </c>
      <c r="H11" s="15" t="s">
        <v>137</v>
      </c>
      <c r="I11" s="15" t="s">
        <v>115</v>
      </c>
      <c r="J11" s="17" t="n">
        <f aca="false">IFERROR(xlookup(B11,liveprices!$a:$a,liveprices!$d:$d),809)</f>
        <v>809</v>
      </c>
      <c r="K11" s="20" t="n">
        <f aca="false">IF(E11=0,"",(J11-E11)/E11)</f>
        <v>0</v>
      </c>
      <c r="L11" s="15" t="s">
        <v>138</v>
      </c>
    </row>
    <row r="12" customFormat="false" ht="15" hidden="false" customHeight="false" outlineLevel="0" collapsed="false">
      <c r="A12" s="8" t="n">
        <v>11</v>
      </c>
      <c r="B12" s="6" t="s">
        <v>139</v>
      </c>
      <c r="C12" s="6" t="s">
        <v>124</v>
      </c>
      <c r="D12" s="9" t="n">
        <v>45866</v>
      </c>
      <c r="E12" s="27" t="n">
        <v>131</v>
      </c>
      <c r="F12" s="6" t="s">
        <v>140</v>
      </c>
      <c r="G12" s="25" t="n">
        <v>3</v>
      </c>
      <c r="H12" s="6" t="s">
        <v>137</v>
      </c>
      <c r="I12" s="6" t="s">
        <v>115</v>
      </c>
      <c r="J12" s="10" t="n">
        <f aca="false">IFERROR(xlookup(B12,liveprices!$a:$a,liveprices!$d:$d),131)</f>
        <v>131</v>
      </c>
      <c r="K12" s="13" t="n">
        <f aca="false">IF(E12=0,"",(J12-E12)/E12)</f>
        <v>0</v>
      </c>
      <c r="L12" s="6"/>
    </row>
    <row r="13" customFormat="false" ht="15" hidden="false" customHeight="false" outlineLevel="0" collapsed="false">
      <c r="A13" s="14" t="n">
        <v>12</v>
      </c>
      <c r="B13" s="15" t="s">
        <v>141</v>
      </c>
      <c r="C13" s="15" t="s">
        <v>142</v>
      </c>
      <c r="D13" s="16" t="n">
        <v>45868</v>
      </c>
      <c r="E13" s="28" t="n">
        <v>1592</v>
      </c>
      <c r="F13" s="15" t="s">
        <v>143</v>
      </c>
      <c r="G13" s="26" t="n">
        <v>3</v>
      </c>
      <c r="H13" s="15" t="s">
        <v>137</v>
      </c>
      <c r="I13" s="15" t="s">
        <v>115</v>
      </c>
      <c r="J13" s="17" t="n">
        <f aca="false">IFERROR(xlookup(B13,liveprices!$a:$a,liveprices!$d:$d),1592)</f>
        <v>1592</v>
      </c>
      <c r="K13" s="20" t="n">
        <f aca="false">IF(E13=0,"",(J13-E13)/E13)</f>
        <v>0</v>
      </c>
      <c r="L13" s="15"/>
    </row>
    <row r="14" customFormat="false" ht="15" hidden="false" customHeight="false" outlineLevel="0" collapsed="false">
      <c r="A14" s="8" t="n">
        <v>13</v>
      </c>
      <c r="B14" s="6" t="s">
        <v>144</v>
      </c>
      <c r="C14" s="6" t="s">
        <v>142</v>
      </c>
      <c r="D14" s="9" t="n">
        <v>45868</v>
      </c>
      <c r="E14" s="27" t="n">
        <v>550</v>
      </c>
      <c r="F14" s="6" t="s">
        <v>145</v>
      </c>
      <c r="G14" s="25" t="n">
        <v>2</v>
      </c>
      <c r="H14" s="6" t="s">
        <v>137</v>
      </c>
      <c r="I14" s="6" t="s">
        <v>115</v>
      </c>
      <c r="J14" s="10" t="n">
        <f aca="false">IFERROR(xlookup(B14,liveprices!$a:$a,liveprices!$d:$d),550)</f>
        <v>550</v>
      </c>
      <c r="K14" s="13" t="n">
        <f aca="false">IF(E14=0,"",(J14-E14)/E14)</f>
        <v>0</v>
      </c>
      <c r="L14" s="6"/>
    </row>
    <row r="15" customFormat="false" ht="15" hidden="false" customHeight="false" outlineLevel="0" collapsed="false">
      <c r="A15" s="14" t="n">
        <v>14</v>
      </c>
      <c r="B15" s="15" t="s">
        <v>146</v>
      </c>
      <c r="C15" s="15" t="s">
        <v>147</v>
      </c>
      <c r="D15" s="16" t="n">
        <v>45981</v>
      </c>
      <c r="E15" s="28" t="n">
        <v>1496</v>
      </c>
      <c r="F15" s="15" t="s">
        <v>125</v>
      </c>
      <c r="G15" s="26" t="n">
        <v>4</v>
      </c>
      <c r="H15" s="15" t="s">
        <v>137</v>
      </c>
      <c r="I15" s="15" t="s">
        <v>110</v>
      </c>
      <c r="J15" s="17" t="n">
        <f aca="false">IFERROR(xlookup(B15,liveprices!$a:$a,liveprices!$d:$d),1496)</f>
        <v>1496</v>
      </c>
      <c r="K15" s="20" t="n">
        <f aca="false">IF(E15=0,"",(J15-E15)/E15)</f>
        <v>0</v>
      </c>
      <c r="L15" s="15"/>
    </row>
    <row r="16" customFormat="false" ht="15" hidden="false" customHeight="false" outlineLevel="0" collapsed="false">
      <c r="A16" s="8" t="n">
        <v>15</v>
      </c>
      <c r="B16" s="6" t="s">
        <v>148</v>
      </c>
      <c r="C16" s="6" t="s">
        <v>149</v>
      </c>
      <c r="D16" s="9" t="n">
        <v>45992</v>
      </c>
      <c r="E16" s="27" t="n">
        <v>1352</v>
      </c>
      <c r="F16" s="6" t="s">
        <v>150</v>
      </c>
      <c r="G16" s="25" t="n">
        <v>4</v>
      </c>
      <c r="H16" s="6" t="s">
        <v>137</v>
      </c>
      <c r="I16" s="6" t="s">
        <v>110</v>
      </c>
      <c r="J16" s="10" t="n">
        <f aca="false">IFERROR(xlookup(B16,liveprices!$a:$a,liveprices!$d:$d),1352)</f>
        <v>1352</v>
      </c>
      <c r="K16" s="13" t="n">
        <f aca="false">IF(E16=0,"",(J16-E16)/E16)</f>
        <v>0</v>
      </c>
      <c r="L16" s="6"/>
    </row>
    <row r="17" customFormat="false" ht="15" hidden="false" customHeight="false" outlineLevel="0" collapsed="false">
      <c r="A17" s="14" t="n">
        <v>16</v>
      </c>
      <c r="B17" s="15" t="s">
        <v>151</v>
      </c>
      <c r="C17" s="15" t="s">
        <v>40</v>
      </c>
      <c r="D17" s="16" t="n">
        <v>46007</v>
      </c>
      <c r="E17" s="28" t="n">
        <v>1703</v>
      </c>
      <c r="F17" s="15" t="s">
        <v>152</v>
      </c>
      <c r="G17" s="26" t="n">
        <v>3</v>
      </c>
      <c r="H17" s="15" t="s">
        <v>153</v>
      </c>
      <c r="I17" s="15" t="s">
        <v>115</v>
      </c>
      <c r="J17" s="17" t="n">
        <f aca="false">IFERROR(xlookup(B17,liveprices!$a:$a,liveprices!$d:$d),1703)</f>
        <v>1703</v>
      </c>
      <c r="K17" s="20" t="n">
        <f aca="false">IF(E17=0,"",(J17-E17)/E17)</f>
        <v>0</v>
      </c>
      <c r="L17" s="15"/>
    </row>
    <row r="18" customFormat="false" ht="15" hidden="false" customHeight="false" outlineLevel="0" collapsed="false">
      <c r="A18" s="8" t="n">
        <v>17</v>
      </c>
      <c r="B18" s="6" t="s">
        <v>35</v>
      </c>
      <c r="C18" s="6" t="s">
        <v>154</v>
      </c>
      <c r="D18" s="9" t="n">
        <v>46014</v>
      </c>
      <c r="E18" s="27" t="n">
        <v>863</v>
      </c>
      <c r="F18" s="6" t="s">
        <v>155</v>
      </c>
      <c r="G18" s="25" t="n">
        <v>3</v>
      </c>
      <c r="H18" s="6" t="s">
        <v>153</v>
      </c>
      <c r="I18" s="6" t="s">
        <v>115</v>
      </c>
      <c r="J18" s="10" t="n">
        <f aca="false">IFERROR(xlookup(B18,liveprices!$a:$a,liveprices!$d:$d),863)</f>
        <v>863</v>
      </c>
      <c r="K18" s="13" t="n">
        <f aca="false">IF(E18=0,"",(J18-E18)/E18)</f>
        <v>0</v>
      </c>
      <c r="L18" s="6"/>
    </row>
    <row r="19" customFormat="false" ht="15" hidden="false" customHeight="false" outlineLevel="0" collapsed="false">
      <c r="A19" s="14" t="n">
        <v>18</v>
      </c>
      <c r="B19" s="15" t="s">
        <v>156</v>
      </c>
      <c r="C19" s="15" t="s">
        <v>142</v>
      </c>
      <c r="D19" s="16" t="n">
        <v>46051</v>
      </c>
      <c r="E19" s="28" t="n">
        <v>2824</v>
      </c>
      <c r="F19" s="15" t="s">
        <v>157</v>
      </c>
      <c r="G19" s="26" t="n">
        <v>3</v>
      </c>
      <c r="H19" s="15" t="s">
        <v>137</v>
      </c>
      <c r="I19" s="15" t="s">
        <v>115</v>
      </c>
      <c r="J19" s="17" t="n">
        <f aca="false">IFERROR(xlookup(B19,liveprices!$a:$a,liveprices!$d:$d),2824)</f>
        <v>2824</v>
      </c>
      <c r="K19" s="20" t="n">
        <f aca="false">IF(E19=0,"",(J19-E19)/E19)</f>
        <v>0</v>
      </c>
      <c r="L19" s="15"/>
    </row>
    <row r="20" customFormat="false" ht="15" hidden="false" customHeight="false" outlineLevel="0" collapsed="false">
      <c r="A20" s="8" t="n">
        <v>19</v>
      </c>
      <c r="B20" s="6" t="s">
        <v>158</v>
      </c>
      <c r="C20" s="6" t="s">
        <v>159</v>
      </c>
      <c r="D20" s="9" t="n">
        <v>46056</v>
      </c>
      <c r="E20" s="27" t="n">
        <v>4148</v>
      </c>
      <c r="F20" s="6" t="s">
        <v>160</v>
      </c>
      <c r="G20" s="25" t="n">
        <v>3</v>
      </c>
      <c r="H20" s="6" t="s">
        <v>137</v>
      </c>
      <c r="I20" s="6" t="s">
        <v>110</v>
      </c>
      <c r="J20" s="10" t="n">
        <f aca="false">IFERROR(xlookup(B20,liveprices!$a:$a,liveprices!$d:$d),4148)</f>
        <v>4148</v>
      </c>
      <c r="K20" s="13" t="n">
        <f aca="false">IF(E20=0,"",(J20-E20)/E20)</f>
        <v>0</v>
      </c>
      <c r="L20" s="6"/>
    </row>
    <row r="21" customFormat="false" ht="15" hidden="false" customHeight="false" outlineLevel="0" collapsed="false">
      <c r="A21" s="14" t="n">
        <v>20</v>
      </c>
      <c r="B21" s="15" t="s">
        <v>161</v>
      </c>
      <c r="C21" s="15" t="s">
        <v>133</v>
      </c>
      <c r="D21" s="16" t="n">
        <v>46063</v>
      </c>
      <c r="E21" s="28" t="n">
        <v>921</v>
      </c>
      <c r="F21" s="15" t="s">
        <v>162</v>
      </c>
      <c r="G21" s="26" t="n">
        <v>3</v>
      </c>
      <c r="H21" s="15" t="s">
        <v>137</v>
      </c>
      <c r="I21" s="15" t="s">
        <v>115</v>
      </c>
      <c r="J21" s="17" t="n">
        <f aca="false">IFERROR(xlookup(B21,liveprices!$a:$a,liveprices!$d:$d),921)</f>
        <v>921</v>
      </c>
      <c r="K21" s="20" t="n">
        <f aca="false">IF(E21=0,"",(J21-E21)/E21)</f>
        <v>0</v>
      </c>
      <c r="L21" s="15"/>
    </row>
    <row r="22" customFormat="false" ht="15" hidden="false" customHeight="false" outlineLevel="0" collapsed="false">
      <c r="A22" s="8" t="n">
        <v>21</v>
      </c>
      <c r="B22" s="6" t="s">
        <v>163</v>
      </c>
      <c r="C22" s="6" t="s">
        <v>164</v>
      </c>
      <c r="D22" s="9" t="n">
        <v>46091</v>
      </c>
      <c r="E22" s="27" t="n">
        <v>272</v>
      </c>
      <c r="F22" s="6" t="s">
        <v>165</v>
      </c>
      <c r="G22" s="25" t="n">
        <v>4</v>
      </c>
      <c r="H22" s="6" t="s">
        <v>166</v>
      </c>
      <c r="I22" s="6" t="s">
        <v>115</v>
      </c>
      <c r="J22" s="10" t="n">
        <f aca="false">IFERROR(xlookup(B22,liveprices!$a:$a,liveprices!$d:$d),272)</f>
        <v>272</v>
      </c>
      <c r="K22" s="13" t="n">
        <f aca="false">IF(E22=0,"",(J22-E22)/E22)</f>
        <v>0</v>
      </c>
      <c r="L22" s="6"/>
    </row>
    <row r="23" customFormat="false" ht="15" hidden="false" customHeight="false" outlineLevel="0" collapsed="false">
      <c r="A23" s="14" t="n">
        <v>22</v>
      </c>
      <c r="B23" s="15" t="s">
        <v>167</v>
      </c>
      <c r="C23" s="15" t="s">
        <v>112</v>
      </c>
      <c r="D23" s="16" t="n">
        <v>46121</v>
      </c>
      <c r="E23" s="28" t="n">
        <v>1186</v>
      </c>
      <c r="F23" s="15" t="s">
        <v>168</v>
      </c>
      <c r="G23" s="26" t="n">
        <v>2</v>
      </c>
      <c r="H23" s="15" t="s">
        <v>137</v>
      </c>
      <c r="I23" s="15" t="s">
        <v>110</v>
      </c>
      <c r="J23" s="17" t="n">
        <f aca="false">IFERROR(xlookup(B23,liveprices!$a:$a,liveprices!$d:$d),1186)</f>
        <v>1186</v>
      </c>
      <c r="K23" s="20" t="n">
        <f aca="false">IF(E23=0,"",(J23-E23)/E23)</f>
        <v>0</v>
      </c>
      <c r="L23" s="15"/>
    </row>
    <row r="24" customFormat="false" ht="15" hidden="false" customHeight="false" outlineLevel="0" collapsed="false">
      <c r="A24" s="8" t="n">
        <v>23</v>
      </c>
      <c r="B24" s="6" t="s">
        <v>169</v>
      </c>
      <c r="C24" s="6" t="s">
        <v>170</v>
      </c>
      <c r="D24" s="9" t="n">
        <v>46139</v>
      </c>
      <c r="E24" s="27" t="n">
        <v>1752</v>
      </c>
      <c r="F24" s="6" t="s">
        <v>171</v>
      </c>
      <c r="G24" s="25" t="n">
        <v>2</v>
      </c>
      <c r="H24" s="6" t="s">
        <v>166</v>
      </c>
      <c r="I24" s="6" t="s">
        <v>110</v>
      </c>
      <c r="J24" s="10" t="n">
        <f aca="false">IFERROR(xlookup(B24,liveprices!$a:$a,liveprices!$d:$d),1752)</f>
        <v>1752</v>
      </c>
      <c r="K24" s="13" t="n">
        <f aca="false">IF(E24=0,"",(J24-E24)/E24)</f>
        <v>0</v>
      </c>
      <c r="L24" s="6"/>
    </row>
    <row r="25" customFormat="false" ht="15" hidden="false" customHeight="false" outlineLevel="0" collapsed="false">
      <c r="A25" s="14" t="n">
        <v>24</v>
      </c>
      <c r="B25" s="15" t="s">
        <v>172</v>
      </c>
      <c r="C25" s="15" t="s">
        <v>118</v>
      </c>
      <c r="D25" s="16" t="n">
        <v>46139</v>
      </c>
      <c r="E25" s="28" t="n">
        <v>606</v>
      </c>
      <c r="F25" s="15" t="s">
        <v>173</v>
      </c>
      <c r="G25" s="26" t="n">
        <v>3</v>
      </c>
      <c r="H25" s="15" t="s">
        <v>166</v>
      </c>
      <c r="I25" s="15" t="s">
        <v>115</v>
      </c>
      <c r="J25" s="17" t="n">
        <f aca="false">IFERROR(xlookup(B25,liveprices!$a:$a,liveprices!$d:$d),606)</f>
        <v>606</v>
      </c>
      <c r="K25" s="20" t="n">
        <f aca="false">IF(E25=0,"",(J25-E25)/E25)</f>
        <v>0</v>
      </c>
      <c r="L25" s="15"/>
    </row>
    <row r="26" customFormat="false" ht="15" hidden="false" customHeight="false" outlineLevel="0" collapsed="false">
      <c r="A26" s="8" t="n">
        <v>25</v>
      </c>
      <c r="B26" s="6" t="s">
        <v>174</v>
      </c>
      <c r="C26" s="6" t="s">
        <v>175</v>
      </c>
      <c r="D26" s="9" t="n">
        <v>46146</v>
      </c>
      <c r="E26" s="27" t="n">
        <v>1650</v>
      </c>
      <c r="F26" s="6" t="s">
        <v>176</v>
      </c>
      <c r="G26" s="25" t="n">
        <v>2</v>
      </c>
      <c r="H26" s="6" t="s">
        <v>137</v>
      </c>
      <c r="I26" s="6" t="s">
        <v>110</v>
      </c>
      <c r="J26" s="10" t="n">
        <f aca="false">IFERROR(xlookup(B26,liveprices!$a:$a,liveprices!$d:$d),1650)</f>
        <v>1650</v>
      </c>
      <c r="K26" s="13" t="n">
        <f aca="false">IF(E26=0,"",(J26-E26)/E26)</f>
        <v>0</v>
      </c>
      <c r="L26" s="6"/>
    </row>
    <row r="27" customFormat="false" ht="15" hidden="false" customHeight="false" outlineLevel="0" collapsed="false">
      <c r="A27" s="14" t="n">
        <v>26</v>
      </c>
      <c r="B27" s="15" t="s">
        <v>177</v>
      </c>
      <c r="C27" s="15" t="s">
        <v>62</v>
      </c>
      <c r="D27" s="16" t="n">
        <v>46146</v>
      </c>
      <c r="E27" s="28" t="n">
        <v>829</v>
      </c>
      <c r="F27" s="15" t="s">
        <v>178</v>
      </c>
      <c r="G27" s="26" t="n">
        <v>3</v>
      </c>
      <c r="H27" s="15" t="s">
        <v>137</v>
      </c>
      <c r="I27" s="15" t="s">
        <v>110</v>
      </c>
      <c r="J27" s="17" t="n">
        <f aca="false">IFERROR(xlookup(B27,liveprices!$a:$a,liveprices!$d:$d),829)</f>
        <v>829</v>
      </c>
      <c r="K27" s="20" t="n">
        <f aca="false">IF(E27=0,"",(J27-E27)/E27)</f>
        <v>0</v>
      </c>
      <c r="L27" s="15"/>
    </row>
    <row r="28" customFormat="false" ht="15" hidden="false" customHeight="false" outlineLevel="0" collapsed="false">
      <c r="A28" s="8" t="n">
        <v>27</v>
      </c>
      <c r="B28" s="6" t="s">
        <v>179</v>
      </c>
      <c r="C28" s="6" t="s">
        <v>107</v>
      </c>
      <c r="D28" s="9" t="n">
        <v>46148</v>
      </c>
      <c r="E28" s="27" t="n">
        <v>755</v>
      </c>
      <c r="F28" s="6" t="s">
        <v>180</v>
      </c>
      <c r="G28" s="25" t="n">
        <v>1</v>
      </c>
      <c r="H28" s="6" t="s">
        <v>137</v>
      </c>
      <c r="I28" s="6" t="s">
        <v>110</v>
      </c>
      <c r="J28" s="10" t="n">
        <f aca="false">IFERROR(xlookup(B28,liveprices!$a:$a,liveprices!$d:$d),755)</f>
        <v>755</v>
      </c>
      <c r="K28" s="13" t="n">
        <f aca="false">IF(E28=0,"",(J28-E28)/E28)</f>
        <v>0</v>
      </c>
      <c r="L28" s="6"/>
    </row>
    <row r="29" customFormat="false" ht="15" hidden="false" customHeight="false" outlineLevel="0" collapsed="false">
      <c r="A29" s="14" t="n">
        <v>28</v>
      </c>
      <c r="B29" s="15" t="s">
        <v>181</v>
      </c>
      <c r="C29" s="15" t="s">
        <v>31</v>
      </c>
      <c r="D29" s="16" t="n">
        <v>46162</v>
      </c>
      <c r="E29" s="28" t="n">
        <v>2614</v>
      </c>
      <c r="F29" s="15" t="s">
        <v>182</v>
      </c>
      <c r="G29" s="26" t="n">
        <v>2</v>
      </c>
      <c r="H29" s="15" t="s">
        <v>137</v>
      </c>
      <c r="I29" s="15" t="s">
        <v>110</v>
      </c>
      <c r="J29" s="17" t="n">
        <f aca="false">IFERROR(xlookup(B29,liveprices!$a:$a,liveprices!$d:$d),2614)</f>
        <v>2614</v>
      </c>
      <c r="K29" s="20" t="n">
        <f aca="false">IF(E29=0,"",(J29-E29)/E29)</f>
        <v>0</v>
      </c>
      <c r="L29" s="15"/>
    </row>
    <row r="30" customFormat="false" ht="15" hidden="false" customHeight="false" outlineLevel="0" collapsed="false">
      <c r="A30" s="8" t="n">
        <v>29</v>
      </c>
      <c r="B30" s="6" t="s">
        <v>183</v>
      </c>
      <c r="C30" s="6" t="s">
        <v>184</v>
      </c>
      <c r="D30" s="9" t="n">
        <v>46169</v>
      </c>
      <c r="E30" s="27" t="n">
        <v>257</v>
      </c>
      <c r="F30" s="6" t="s">
        <v>185</v>
      </c>
      <c r="G30" s="25" t="n">
        <v>3</v>
      </c>
      <c r="H30" s="6" t="s">
        <v>137</v>
      </c>
      <c r="I30" s="6" t="s">
        <v>110</v>
      </c>
      <c r="J30" s="10" t="n">
        <f aca="false">IFERROR(xlookup(B30,liveprices!$a:$a,liveprices!$d:$d),257)</f>
        <v>257</v>
      </c>
      <c r="K30" s="13" t="n">
        <f aca="false">IF(E30=0,"",(J30-E30)/E30)</f>
        <v>0</v>
      </c>
      <c r="L30" s="6"/>
    </row>
    <row r="31" customFormat="false" ht="15" hidden="false" customHeight="false" outlineLevel="0" collapsed="false">
      <c r="A31" s="14" t="n">
        <v>30</v>
      </c>
      <c r="B31" s="15" t="s">
        <v>186</v>
      </c>
      <c r="C31" s="15" t="s">
        <v>187</v>
      </c>
      <c r="D31" s="16" t="n">
        <v>46169</v>
      </c>
      <c r="E31" s="28" t="n">
        <v>503</v>
      </c>
      <c r="F31" s="15" t="s">
        <v>188</v>
      </c>
      <c r="G31" s="26" t="n">
        <v>2</v>
      </c>
      <c r="H31" s="15" t="s">
        <v>137</v>
      </c>
      <c r="I31" s="15" t="s">
        <v>110</v>
      </c>
      <c r="J31" s="17" t="n">
        <f aca="false">IFERROR(xlookup(B31,liveprices!$a:$a,liveprices!$d:$d),503)</f>
        <v>503</v>
      </c>
      <c r="K31" s="20" t="n">
        <f aca="false">IF(E31=0,"",(J31-E31)/E31)</f>
        <v>0</v>
      </c>
      <c r="L31" s="15"/>
    </row>
    <row r="33" customFormat="false" ht="15" hidden="false" customHeight="false" outlineLevel="0" collapsed="false">
      <c r="B33" s="29" t="s">
        <v>189</v>
      </c>
    </row>
    <row r="34" customFormat="false" ht="23.85" hidden="false" customHeight="false" outlineLevel="0" collapsed="false">
      <c r="B34" s="4" t="s">
        <v>98</v>
      </c>
      <c r="C34" s="4" t="s">
        <v>18</v>
      </c>
      <c r="D34" s="4" t="s">
        <v>190</v>
      </c>
      <c r="E34" s="4" t="s">
        <v>191</v>
      </c>
      <c r="F34" s="4" t="s">
        <v>102</v>
      </c>
      <c r="G34" s="4" t="s">
        <v>192</v>
      </c>
      <c r="H34" s="4" t="s">
        <v>193</v>
      </c>
      <c r="I34" s="4" t="s">
        <v>194</v>
      </c>
    </row>
    <row r="35" customFormat="false" ht="15" hidden="false" customHeight="false" outlineLevel="0" collapsed="false">
      <c r="B35" s="6" t="s">
        <v>181</v>
      </c>
      <c r="C35" s="30" t="n">
        <v>45224</v>
      </c>
      <c r="D35" s="10" t="n">
        <v>2040</v>
      </c>
      <c r="E35" s="6" t="s">
        <v>195</v>
      </c>
      <c r="F35" s="31" t="n">
        <v>2</v>
      </c>
      <c r="G35" s="30" t="n">
        <v>45267</v>
      </c>
      <c r="H35" s="10" t="n">
        <v>2700</v>
      </c>
      <c r="I35" s="32" t="n">
        <v>0.32</v>
      </c>
    </row>
    <row r="36" customFormat="false" ht="15" hidden="false" customHeight="false" outlineLevel="0" collapsed="false">
      <c r="B36" s="15" t="s">
        <v>196</v>
      </c>
      <c r="C36" s="33" t="n">
        <v>45173</v>
      </c>
      <c r="D36" s="17" t="n">
        <v>3125</v>
      </c>
      <c r="E36" s="15" t="s">
        <v>197</v>
      </c>
      <c r="F36" s="34" t="n">
        <v>3</v>
      </c>
      <c r="G36" s="33" t="n">
        <v>45275</v>
      </c>
      <c r="H36" s="17" t="n">
        <v>2707</v>
      </c>
      <c r="I36" s="35" t="n">
        <v>-0.13</v>
      </c>
    </row>
    <row r="37" customFormat="false" ht="15" hidden="false" customHeight="false" outlineLevel="0" collapsed="false">
      <c r="B37" s="6" t="s">
        <v>198</v>
      </c>
      <c r="C37" s="30" t="n">
        <v>45173</v>
      </c>
      <c r="D37" s="10" t="n">
        <v>593</v>
      </c>
      <c r="E37" s="6" t="s">
        <v>199</v>
      </c>
      <c r="F37" s="31" t="n">
        <v>3</v>
      </c>
      <c r="G37" s="30" t="n">
        <v>45281</v>
      </c>
      <c r="H37" s="10" t="n">
        <v>586</v>
      </c>
      <c r="I37" s="32" t="n">
        <v>-0.01</v>
      </c>
    </row>
    <row r="38" customFormat="false" ht="15" hidden="false" customHeight="false" outlineLevel="0" collapsed="false">
      <c r="B38" s="15" t="s">
        <v>200</v>
      </c>
      <c r="C38" s="33" t="n">
        <v>45194</v>
      </c>
      <c r="D38" s="17" t="n">
        <v>275</v>
      </c>
      <c r="E38" s="15" t="s">
        <v>201</v>
      </c>
      <c r="F38" s="34" t="n">
        <v>2</v>
      </c>
      <c r="G38" s="33" t="n">
        <v>45331</v>
      </c>
      <c r="H38" s="17" t="n">
        <v>257</v>
      </c>
      <c r="I38" s="35" t="n">
        <v>-0.07</v>
      </c>
    </row>
    <row r="39" customFormat="false" ht="15" hidden="false" customHeight="false" outlineLevel="0" collapsed="false">
      <c r="B39" s="6" t="s">
        <v>202</v>
      </c>
      <c r="C39" s="30" t="n">
        <v>45208</v>
      </c>
      <c r="D39" s="10" t="n">
        <v>1093</v>
      </c>
      <c r="E39" s="6" t="s">
        <v>203</v>
      </c>
      <c r="F39" s="31" t="n">
        <v>2</v>
      </c>
      <c r="G39" s="30" t="n">
        <v>45337</v>
      </c>
      <c r="H39" s="10" t="n">
        <v>1310</v>
      </c>
      <c r="I39" s="32" t="n">
        <v>0.2</v>
      </c>
    </row>
    <row r="40" customFormat="false" ht="15" hidden="false" customHeight="false" outlineLevel="0" collapsed="false">
      <c r="B40" s="15" t="s">
        <v>204</v>
      </c>
      <c r="C40" s="33"/>
      <c r="D40" s="17" t="n">
        <v>23.2</v>
      </c>
      <c r="E40" s="15" t="s">
        <v>205</v>
      </c>
      <c r="F40" s="34" t="n">
        <v>3</v>
      </c>
      <c r="G40" s="33" t="n">
        <v>45357</v>
      </c>
      <c r="H40" s="17" t="n">
        <v>30.6</v>
      </c>
      <c r="I40" s="35" t="n">
        <v>0.32</v>
      </c>
    </row>
    <row r="41" customFormat="false" ht="15" hidden="false" customHeight="false" outlineLevel="0" collapsed="false">
      <c r="B41" s="6" t="s">
        <v>206</v>
      </c>
      <c r="C41" s="30" t="n">
        <v>45292</v>
      </c>
      <c r="D41" s="10" t="n">
        <v>1247</v>
      </c>
      <c r="E41" s="6" t="s">
        <v>207</v>
      </c>
      <c r="F41" s="31" t="n">
        <v>3</v>
      </c>
      <c r="G41" s="30" t="n">
        <v>45371</v>
      </c>
      <c r="H41" s="10" t="n">
        <v>1013</v>
      </c>
      <c r="I41" s="32" t="n">
        <v>-0.19</v>
      </c>
    </row>
    <row r="42" customFormat="false" ht="15" hidden="false" customHeight="false" outlineLevel="0" collapsed="false">
      <c r="B42" s="15" t="s">
        <v>208</v>
      </c>
      <c r="C42" s="33" t="n">
        <v>45357</v>
      </c>
      <c r="D42" s="17" t="n">
        <v>22</v>
      </c>
      <c r="E42" s="15" t="s">
        <v>209</v>
      </c>
      <c r="F42" s="34" t="n">
        <v>3</v>
      </c>
      <c r="G42" s="33" t="n">
        <v>45384</v>
      </c>
      <c r="H42" s="17" t="n">
        <v>27.8</v>
      </c>
      <c r="I42" s="35" t="n">
        <v>0.26</v>
      </c>
    </row>
    <row r="43" customFormat="false" ht="15" hidden="false" customHeight="false" outlineLevel="0" collapsed="false">
      <c r="B43" s="6" t="s">
        <v>210</v>
      </c>
      <c r="C43" s="30" t="n">
        <v>45245</v>
      </c>
      <c r="D43" s="10" t="n">
        <v>423</v>
      </c>
      <c r="E43" s="6" t="s">
        <v>211</v>
      </c>
      <c r="F43" s="31" t="n">
        <v>1</v>
      </c>
      <c r="G43" s="30" t="n">
        <v>45391</v>
      </c>
      <c r="H43" s="10" t="n">
        <v>451</v>
      </c>
      <c r="I43" s="32" t="n">
        <v>0.07</v>
      </c>
    </row>
    <row r="44" customFormat="false" ht="15" hidden="false" customHeight="false" outlineLevel="0" collapsed="false">
      <c r="B44" s="15" t="s">
        <v>212</v>
      </c>
      <c r="C44" s="33" t="n">
        <v>45261</v>
      </c>
      <c r="D44" s="17" t="n">
        <v>748</v>
      </c>
      <c r="E44" s="15" t="s">
        <v>213</v>
      </c>
      <c r="F44" s="34" t="n">
        <v>1</v>
      </c>
      <c r="G44" s="33" t="n">
        <v>45422</v>
      </c>
      <c r="H44" s="17" t="n">
        <v>903</v>
      </c>
      <c r="I44" s="35" t="n">
        <v>0.21</v>
      </c>
    </row>
    <row r="45" customFormat="false" ht="15" hidden="false" customHeight="false" outlineLevel="0" collapsed="false">
      <c r="B45" s="6" t="s">
        <v>214</v>
      </c>
      <c r="C45" s="30" t="n">
        <v>45173</v>
      </c>
      <c r="D45" s="10" t="n">
        <v>471</v>
      </c>
      <c r="E45" s="6" t="s">
        <v>215</v>
      </c>
      <c r="F45" s="31" t="n">
        <v>3</v>
      </c>
      <c r="G45" s="30" t="n">
        <v>45428</v>
      </c>
      <c r="H45" s="10" t="n">
        <v>655</v>
      </c>
      <c r="I45" s="32" t="n">
        <v>0.39</v>
      </c>
    </row>
    <row r="46" customFormat="false" ht="15" hidden="false" customHeight="false" outlineLevel="0" collapsed="false">
      <c r="B46" s="15" t="s">
        <v>216</v>
      </c>
      <c r="C46" s="33" t="n">
        <v>45246</v>
      </c>
      <c r="D46" s="17" t="n">
        <v>526</v>
      </c>
      <c r="E46" s="15" t="s">
        <v>217</v>
      </c>
      <c r="F46" s="34" t="n">
        <v>3</v>
      </c>
      <c r="G46" s="33" t="n">
        <v>45428</v>
      </c>
      <c r="H46" s="17" t="n">
        <v>616</v>
      </c>
      <c r="I46" s="35" t="n">
        <v>0.17</v>
      </c>
    </row>
    <row r="47" customFormat="false" ht="15" hidden="false" customHeight="false" outlineLevel="0" collapsed="false">
      <c r="B47" s="6" t="s">
        <v>218</v>
      </c>
      <c r="C47" s="30" t="n">
        <v>45342</v>
      </c>
      <c r="D47" s="10" t="n">
        <v>1217</v>
      </c>
      <c r="E47" s="6" t="s">
        <v>219</v>
      </c>
      <c r="F47" s="31" t="n">
        <v>1</v>
      </c>
      <c r="G47" s="30" t="n">
        <v>45429</v>
      </c>
      <c r="H47" s="10" t="n">
        <v>1191</v>
      </c>
      <c r="I47" s="32" t="n">
        <v>-0.02</v>
      </c>
    </row>
    <row r="48" customFormat="false" ht="15" hidden="false" customHeight="false" outlineLevel="0" collapsed="false">
      <c r="B48" s="15" t="s">
        <v>220</v>
      </c>
      <c r="C48" s="33" t="n">
        <v>45224</v>
      </c>
      <c r="D48" s="17" t="n">
        <v>150</v>
      </c>
      <c r="E48" s="15" t="s">
        <v>221</v>
      </c>
      <c r="F48" s="34" t="n">
        <v>1</v>
      </c>
      <c r="G48" s="33" t="n">
        <v>45448</v>
      </c>
      <c r="H48" s="17" t="n">
        <v>280</v>
      </c>
      <c r="I48" s="35" t="n">
        <v>0.87</v>
      </c>
    </row>
    <row r="49" customFormat="false" ht="15" hidden="false" customHeight="false" outlineLevel="0" collapsed="false">
      <c r="B49" s="6" t="s">
        <v>222</v>
      </c>
      <c r="C49" s="30" t="n">
        <v>45275</v>
      </c>
      <c r="D49" s="10" t="n">
        <v>51</v>
      </c>
      <c r="E49" s="6" t="s">
        <v>223</v>
      </c>
      <c r="F49" s="31" t="n">
        <v>3</v>
      </c>
      <c r="G49" s="30" t="n">
        <v>45469</v>
      </c>
      <c r="H49" s="10" t="n">
        <v>44</v>
      </c>
      <c r="I49" s="32" t="n">
        <v>-0.13</v>
      </c>
    </row>
    <row r="50" customFormat="false" ht="15" hidden="false" customHeight="false" outlineLevel="0" collapsed="false">
      <c r="B50" s="15" t="s">
        <v>224</v>
      </c>
      <c r="C50" s="33" t="n">
        <v>45173</v>
      </c>
      <c r="D50" s="17" t="n">
        <v>397</v>
      </c>
      <c r="E50" s="15" t="s">
        <v>225</v>
      </c>
      <c r="F50" s="34" t="n">
        <v>1</v>
      </c>
      <c r="G50" s="33" t="n">
        <v>45505</v>
      </c>
      <c r="H50" s="17" t="n">
        <v>630</v>
      </c>
      <c r="I50" s="35" t="n">
        <v>0.59</v>
      </c>
    </row>
    <row r="51" customFormat="false" ht="15" hidden="false" customHeight="false" outlineLevel="0" collapsed="false">
      <c r="B51" s="6" t="s">
        <v>226</v>
      </c>
      <c r="C51" s="30" t="n">
        <v>45322</v>
      </c>
      <c r="D51" s="10" t="n">
        <v>840</v>
      </c>
      <c r="E51" s="6" t="s">
        <v>227</v>
      </c>
      <c r="F51" s="31" t="n">
        <v>1</v>
      </c>
      <c r="G51" s="30" t="n">
        <v>45505</v>
      </c>
      <c r="H51" s="10" t="n">
        <v>1703</v>
      </c>
      <c r="I51" s="32" t="n">
        <v>1.03</v>
      </c>
    </row>
    <row r="52" customFormat="false" ht="15" hidden="false" customHeight="false" outlineLevel="0" collapsed="false">
      <c r="B52" s="15" t="s">
        <v>228</v>
      </c>
      <c r="C52" s="33" t="n">
        <v>45212</v>
      </c>
      <c r="D52" s="17" t="n">
        <v>995</v>
      </c>
      <c r="E52" s="15" t="s">
        <v>229</v>
      </c>
      <c r="F52" s="34" t="n">
        <v>2</v>
      </c>
      <c r="G52" s="33" t="n">
        <v>45505</v>
      </c>
      <c r="H52" s="17" t="n">
        <v>777</v>
      </c>
      <c r="I52" s="35" t="n">
        <v>-0.22</v>
      </c>
    </row>
    <row r="53" customFormat="false" ht="15" hidden="false" customHeight="false" outlineLevel="0" collapsed="false">
      <c r="B53" s="6" t="s">
        <v>230</v>
      </c>
      <c r="C53" s="30" t="n">
        <v>45470</v>
      </c>
      <c r="D53" s="10" t="n">
        <v>364</v>
      </c>
      <c r="E53" s="6" t="s">
        <v>231</v>
      </c>
      <c r="F53" s="31" t="n">
        <v>1</v>
      </c>
      <c r="G53" s="30" t="n">
        <v>45554</v>
      </c>
      <c r="H53" s="10" t="n">
        <v>420</v>
      </c>
      <c r="I53" s="32" t="n">
        <v>0.15</v>
      </c>
    </row>
    <row r="54" customFormat="false" ht="15" hidden="false" customHeight="false" outlineLevel="0" collapsed="false">
      <c r="B54" s="15" t="s">
        <v>232</v>
      </c>
      <c r="C54" s="33" t="n">
        <v>45173</v>
      </c>
      <c r="D54" s="17" t="n">
        <v>368</v>
      </c>
      <c r="E54" s="15" t="s">
        <v>233</v>
      </c>
      <c r="F54" s="34" t="n">
        <v>2</v>
      </c>
      <c r="G54" s="33" t="n">
        <v>45568</v>
      </c>
      <c r="H54" s="17" t="n">
        <v>594</v>
      </c>
      <c r="I54" s="35" t="n">
        <v>0.61</v>
      </c>
    </row>
    <row r="55" customFormat="false" ht="15" hidden="false" customHeight="false" outlineLevel="0" collapsed="false">
      <c r="B55" s="6" t="s">
        <v>234</v>
      </c>
      <c r="C55" s="30" t="n">
        <v>45173</v>
      </c>
      <c r="D55" s="10" t="n">
        <v>89</v>
      </c>
      <c r="E55" s="6" t="s">
        <v>235</v>
      </c>
      <c r="F55" s="31" t="n">
        <v>2</v>
      </c>
      <c r="G55" s="30" t="n">
        <v>45582</v>
      </c>
      <c r="H55" s="10" t="n">
        <v>71</v>
      </c>
      <c r="I55" s="32" t="n">
        <v>-0.2</v>
      </c>
    </row>
    <row r="56" customFormat="false" ht="15" hidden="false" customHeight="false" outlineLevel="0" collapsed="false">
      <c r="B56" s="15" t="s">
        <v>236</v>
      </c>
      <c r="C56" s="33" t="n">
        <v>45267</v>
      </c>
      <c r="D56" s="17" t="n">
        <v>121</v>
      </c>
      <c r="E56" s="15" t="s">
        <v>237</v>
      </c>
      <c r="F56" s="34" t="n">
        <v>2</v>
      </c>
      <c r="G56" s="33" t="n">
        <v>45582</v>
      </c>
      <c r="H56" s="17" t="n">
        <v>257</v>
      </c>
      <c r="I56" s="35" t="n">
        <v>1.12</v>
      </c>
    </row>
    <row r="57" customFormat="false" ht="15" hidden="false" customHeight="false" outlineLevel="0" collapsed="false">
      <c r="B57" s="6" t="s">
        <v>238</v>
      </c>
      <c r="C57" s="30" t="n">
        <v>45224</v>
      </c>
      <c r="D57" s="10" t="n">
        <v>2247</v>
      </c>
      <c r="E57" s="6" t="s">
        <v>239</v>
      </c>
      <c r="F57" s="31" t="n">
        <v>1</v>
      </c>
      <c r="G57" s="30" t="n">
        <v>45639</v>
      </c>
      <c r="H57" s="10" t="n">
        <v>6610</v>
      </c>
      <c r="I57" s="32" t="n">
        <v>1.94</v>
      </c>
    </row>
    <row r="58" customFormat="false" ht="15" hidden="false" customHeight="false" outlineLevel="0" collapsed="false">
      <c r="B58" s="15" t="s">
        <v>240</v>
      </c>
      <c r="C58" s="33" t="n">
        <v>45390</v>
      </c>
      <c r="D58" s="17" t="n">
        <v>802</v>
      </c>
      <c r="E58" s="15" t="s">
        <v>241</v>
      </c>
      <c r="F58" s="34" t="n">
        <v>2</v>
      </c>
      <c r="G58" s="33" t="n">
        <v>45666</v>
      </c>
      <c r="H58" s="17" t="n">
        <v>1112</v>
      </c>
      <c r="I58" s="35" t="n">
        <v>0.39</v>
      </c>
    </row>
    <row r="59" customFormat="false" ht="15" hidden="false" customHeight="false" outlineLevel="0" collapsed="false">
      <c r="B59" s="6" t="s">
        <v>242</v>
      </c>
      <c r="C59" s="30" t="n">
        <v>45258</v>
      </c>
      <c r="D59" s="10" t="n">
        <v>648</v>
      </c>
      <c r="E59" s="6" t="s">
        <v>243</v>
      </c>
      <c r="F59" s="31" t="n">
        <v>1</v>
      </c>
      <c r="G59" s="30" t="n">
        <v>45670</v>
      </c>
      <c r="H59" s="10" t="n">
        <v>588</v>
      </c>
      <c r="I59" s="32" t="n">
        <v>-0.09</v>
      </c>
    </row>
  </sheetData>
  <autoFilter ref="A1:L31"/>
  <conditionalFormatting sqref="K2:K31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I35:I59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2" min="10" style="0" width="11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30"/>
    <col collapsed="false" customWidth="true" hidden="false" outlineLevel="0" max="17" min="17" style="0" width="40"/>
  </cols>
  <sheetData>
    <row r="1" customFormat="false" ht="23.85" hidden="false" customHeight="false" outlineLevel="0" collapsed="false">
      <c r="A1" s="4" t="s">
        <v>8</v>
      </c>
      <c r="B1" s="4" t="s">
        <v>16</v>
      </c>
      <c r="C1" s="4" t="s">
        <v>17</v>
      </c>
      <c r="D1" s="4" t="s">
        <v>244</v>
      </c>
      <c r="E1" s="4" t="s">
        <v>245</v>
      </c>
      <c r="F1" s="4" t="s">
        <v>18</v>
      </c>
      <c r="G1" s="4" t="s">
        <v>246</v>
      </c>
      <c r="H1" s="4" t="s">
        <v>105</v>
      </c>
      <c r="I1" s="4" t="s">
        <v>23</v>
      </c>
      <c r="J1" s="4" t="s">
        <v>24</v>
      </c>
      <c r="K1" s="4" t="s">
        <v>247</v>
      </c>
      <c r="L1" s="4" t="s">
        <v>21</v>
      </c>
      <c r="M1" s="4" t="s">
        <v>248</v>
      </c>
      <c r="N1" s="4" t="s">
        <v>249</v>
      </c>
      <c r="O1" s="4" t="s">
        <v>250</v>
      </c>
      <c r="P1" s="4" t="s">
        <v>251</v>
      </c>
      <c r="Q1" s="4" t="s">
        <v>25</v>
      </c>
    </row>
    <row r="2" customFormat="false" ht="15" hidden="false" customHeight="false" outlineLevel="0" collapsed="false">
      <c r="A2" s="36" t="s">
        <v>252</v>
      </c>
      <c r="B2" s="6" t="s">
        <v>26</v>
      </c>
      <c r="C2" s="6" t="s">
        <v>27</v>
      </c>
      <c r="D2" s="6" t="s">
        <v>253</v>
      </c>
      <c r="E2" s="6"/>
      <c r="F2" s="9" t="n">
        <v>46169</v>
      </c>
      <c r="G2" s="10" t="n">
        <v>1125</v>
      </c>
      <c r="H2" s="10" t="n">
        <f aca="false">IFERROR(xlookup(B2,liveprices!$a:$a,liveprices!$d:$d),1125)</f>
        <v>1125</v>
      </c>
      <c r="I2" s="13" t="n">
        <v>-0.134</v>
      </c>
      <c r="J2" s="13" t="n">
        <f aca="false">IF(G2=0,"",(H2-G2)/G2)</f>
        <v>0</v>
      </c>
      <c r="K2" s="8" t="s">
        <v>254</v>
      </c>
      <c r="L2" s="12" t="s">
        <v>28</v>
      </c>
      <c r="M2" s="37"/>
      <c r="N2" s="37"/>
      <c r="O2" s="9" t="n">
        <v>46175</v>
      </c>
      <c r="P2" s="37"/>
      <c r="Q2" s="6" t="s">
        <v>29</v>
      </c>
    </row>
    <row r="3" customFormat="false" ht="15" hidden="false" customHeight="false" outlineLevel="0" collapsed="false">
      <c r="A3" s="38" t="s">
        <v>252</v>
      </c>
      <c r="B3" s="15" t="s">
        <v>30</v>
      </c>
      <c r="C3" s="15" t="s">
        <v>31</v>
      </c>
      <c r="D3" s="15" t="s">
        <v>255</v>
      </c>
      <c r="E3" s="15"/>
      <c r="F3" s="16" t="n">
        <v>46169</v>
      </c>
      <c r="G3" s="17" t="n">
        <v>362</v>
      </c>
      <c r="H3" s="17" t="n">
        <f aca="false">IFERROR(xlookup(B3,liveprices!$a:$a,liveprices!$d:$d),362)</f>
        <v>362</v>
      </c>
      <c r="I3" s="20" t="n">
        <v>-0.368</v>
      </c>
      <c r="J3" s="20" t="n">
        <f aca="false">IF(G3=0,"",(H3-G3)/G3)</f>
        <v>0</v>
      </c>
      <c r="K3" s="14" t="s">
        <v>256</v>
      </c>
      <c r="L3" s="19" t="s">
        <v>28</v>
      </c>
      <c r="M3" s="37"/>
      <c r="N3" s="37"/>
      <c r="O3" s="16" t="n">
        <v>46175</v>
      </c>
      <c r="P3" s="37"/>
      <c r="Q3" s="15" t="s">
        <v>29</v>
      </c>
    </row>
    <row r="4" customFormat="false" ht="15" hidden="false" customHeight="false" outlineLevel="0" collapsed="false">
      <c r="A4" s="36" t="s">
        <v>252</v>
      </c>
      <c r="B4" s="6" t="s">
        <v>32</v>
      </c>
      <c r="C4" s="6" t="s">
        <v>33</v>
      </c>
      <c r="D4" s="6" t="s">
        <v>257</v>
      </c>
      <c r="E4" s="6"/>
      <c r="F4" s="9" t="n">
        <v>46119</v>
      </c>
      <c r="G4" s="10" t="n">
        <v>379</v>
      </c>
      <c r="H4" s="10" t="n">
        <f aca="false">IFERROR(xlookup(B4,liveprices!$a:$a,liveprices!$d:$d),388)</f>
        <v>388</v>
      </c>
      <c r="I4" s="13" t="n">
        <v>0.023</v>
      </c>
      <c r="J4" s="13" t="n">
        <f aca="false">IF(G4=0,"",(H4-G4)/G4)</f>
        <v>0.0237467018469657</v>
      </c>
      <c r="K4" s="8" t="s">
        <v>256</v>
      </c>
      <c r="L4" s="21" t="s">
        <v>34</v>
      </c>
      <c r="M4" s="37"/>
      <c r="N4" s="37"/>
      <c r="O4" s="9" t="n">
        <v>46175</v>
      </c>
      <c r="P4" s="37"/>
      <c r="Q4" s="6"/>
    </row>
    <row r="5" customFormat="false" ht="15" hidden="false" customHeight="false" outlineLevel="0" collapsed="false">
      <c r="A5" s="38" t="s">
        <v>252</v>
      </c>
      <c r="B5" s="15" t="s">
        <v>35</v>
      </c>
      <c r="C5" s="15" t="s">
        <v>36</v>
      </c>
      <c r="D5" s="15" t="s">
        <v>258</v>
      </c>
      <c r="E5" s="15"/>
      <c r="F5" s="16" t="n">
        <v>46083</v>
      </c>
      <c r="G5" s="17" t="n">
        <v>666</v>
      </c>
      <c r="H5" s="17" t="n">
        <f aca="false">IFERROR(xlookup(B5,liveprices!$a:$a,liveprices!$d:$d),822)</f>
        <v>822</v>
      </c>
      <c r="I5" s="20" t="n">
        <v>0.235</v>
      </c>
      <c r="J5" s="20" t="n">
        <f aca="false">IF(G5=0,"",(H5-G5)/G5)</f>
        <v>0.234234234234234</v>
      </c>
      <c r="K5" s="14" t="s">
        <v>254</v>
      </c>
      <c r="L5" s="22" t="s">
        <v>34</v>
      </c>
      <c r="M5" s="37"/>
      <c r="N5" s="37"/>
      <c r="O5" s="16" t="n">
        <v>46175</v>
      </c>
      <c r="P5" s="37"/>
      <c r="Q5" s="15"/>
    </row>
    <row r="6" customFormat="false" ht="15" hidden="false" customHeight="false" outlineLevel="0" collapsed="false">
      <c r="A6" s="36" t="s">
        <v>252</v>
      </c>
      <c r="B6" s="6" t="s">
        <v>37</v>
      </c>
      <c r="C6" s="6" t="s">
        <v>38</v>
      </c>
      <c r="D6" s="6" t="s">
        <v>259</v>
      </c>
      <c r="E6" s="6"/>
      <c r="F6" s="9" t="n">
        <v>46083</v>
      </c>
      <c r="G6" s="10" t="n">
        <v>2685</v>
      </c>
      <c r="H6" s="10" t="n">
        <f aca="false">IFERROR(xlookup(B6,liveprices!$a:$a,liveprices!$d:$d),2880)</f>
        <v>2880</v>
      </c>
      <c r="I6" s="13" t="n">
        <v>0.072</v>
      </c>
      <c r="J6" s="13" t="n">
        <f aca="false">IF(G6=0,"",(H6-G6)/G6)</f>
        <v>0.0726256983240224</v>
      </c>
      <c r="K6" s="8" t="s">
        <v>260</v>
      </c>
      <c r="L6" s="21" t="s">
        <v>34</v>
      </c>
      <c r="M6" s="37"/>
      <c r="N6" s="37"/>
      <c r="O6" s="9" t="n">
        <v>46175</v>
      </c>
      <c r="P6" s="37"/>
      <c r="Q6" s="6"/>
    </row>
    <row r="7" customFormat="false" ht="15" hidden="false" customHeight="false" outlineLevel="0" collapsed="false">
      <c r="A7" s="38" t="s">
        <v>252</v>
      </c>
      <c r="B7" s="15" t="s">
        <v>39</v>
      </c>
      <c r="C7" s="15" t="s">
        <v>40</v>
      </c>
      <c r="D7" s="15" t="s">
        <v>39</v>
      </c>
      <c r="E7" s="15"/>
      <c r="F7" s="16" t="n">
        <v>46034</v>
      </c>
      <c r="G7" s="17" t="n">
        <v>1635</v>
      </c>
      <c r="H7" s="17" t="n">
        <f aca="false">IFERROR(xlookup(B7,liveprices!$a:$a,liveprices!$d:$d),1698)</f>
        <v>1698</v>
      </c>
      <c r="I7" s="20" t="n">
        <v>0.038</v>
      </c>
      <c r="J7" s="20" t="n">
        <f aca="false">IF(G7=0,"",(H7-G7)/G7)</f>
        <v>0.0385321100917431</v>
      </c>
      <c r="K7" s="14" t="s">
        <v>256</v>
      </c>
      <c r="L7" s="22" t="s">
        <v>34</v>
      </c>
      <c r="M7" s="37"/>
      <c r="N7" s="37"/>
      <c r="O7" s="16" t="n">
        <v>46175</v>
      </c>
      <c r="P7" s="37"/>
      <c r="Q7" s="15"/>
    </row>
    <row r="8" customFormat="false" ht="15" hidden="false" customHeight="false" outlineLevel="0" collapsed="false">
      <c r="A8" s="36" t="s">
        <v>252</v>
      </c>
      <c r="B8" s="6" t="s">
        <v>41</v>
      </c>
      <c r="C8" s="6" t="s">
        <v>42</v>
      </c>
      <c r="D8" s="6" t="s">
        <v>261</v>
      </c>
      <c r="E8" s="6"/>
      <c r="F8" s="9" t="n">
        <v>46034</v>
      </c>
      <c r="G8" s="10" t="n">
        <v>1862</v>
      </c>
      <c r="H8" s="10" t="n">
        <f aca="false">IFERROR(xlookup(B8,liveprices!$a:$a,liveprices!$d:$d),1799)</f>
        <v>1799</v>
      </c>
      <c r="I8" s="13" t="n">
        <v>-0.033</v>
      </c>
      <c r="J8" s="13" t="n">
        <f aca="false">IF(G8=0,"",(H8-G8)/G8)</f>
        <v>-0.0338345864661654</v>
      </c>
      <c r="K8" s="8" t="s">
        <v>256</v>
      </c>
      <c r="L8" s="21" t="s">
        <v>34</v>
      </c>
      <c r="M8" s="37"/>
      <c r="N8" s="37"/>
      <c r="O8" s="9" t="n">
        <v>46175</v>
      </c>
      <c r="P8" s="37"/>
      <c r="Q8" s="6"/>
    </row>
    <row r="9" customFormat="false" ht="15" hidden="false" customHeight="false" outlineLevel="0" collapsed="false">
      <c r="A9" s="38" t="s">
        <v>252</v>
      </c>
      <c r="B9" s="15" t="s">
        <v>43</v>
      </c>
      <c r="C9" s="15" t="s">
        <v>40</v>
      </c>
      <c r="D9" s="15" t="s">
        <v>262</v>
      </c>
      <c r="E9" s="15"/>
      <c r="F9" s="16" t="n">
        <v>46034</v>
      </c>
      <c r="G9" s="17" t="n">
        <v>19000</v>
      </c>
      <c r="H9" s="17" t="n">
        <f aca="false">IFERROR(xlookup(B9,liveprices!$a:$a,liveprices!$d:$d),20913)</f>
        <v>20913</v>
      </c>
      <c r="I9" s="20" t="n">
        <v>0.1</v>
      </c>
      <c r="J9" s="20" t="n">
        <f aca="false">IF(G9=0,"",(H9-G9)/G9)</f>
        <v>0.100684210526316</v>
      </c>
      <c r="K9" s="14" t="s">
        <v>256</v>
      </c>
      <c r="L9" s="22" t="s">
        <v>34</v>
      </c>
      <c r="M9" s="37"/>
      <c r="N9" s="37"/>
      <c r="O9" s="16" t="n">
        <v>46175</v>
      </c>
      <c r="P9" s="37"/>
      <c r="Q9" s="15"/>
    </row>
    <row r="10" customFormat="false" ht="15" hidden="false" customHeight="false" outlineLevel="0" collapsed="false">
      <c r="A10" s="36" t="s">
        <v>252</v>
      </c>
      <c r="B10" s="6" t="s">
        <v>44</v>
      </c>
      <c r="C10" s="6" t="s">
        <v>45</v>
      </c>
      <c r="D10" s="6" t="s">
        <v>263</v>
      </c>
      <c r="E10" s="6"/>
      <c r="F10" s="9" t="n">
        <v>46034</v>
      </c>
      <c r="G10" s="10" t="n">
        <v>189.5</v>
      </c>
      <c r="H10" s="10" t="n">
        <f aca="false">IFERROR(xlookup(B10,liveprices!$a:$a,liveprices!$d:$d),163.2)</f>
        <v>163.2</v>
      </c>
      <c r="I10" s="13" t="n">
        <v>-0.138</v>
      </c>
      <c r="J10" s="13" t="n">
        <f aca="false">IF(G10=0,"",(H10-G10)/G10)</f>
        <v>-0.138786279683377</v>
      </c>
      <c r="K10" s="8" t="s">
        <v>264</v>
      </c>
      <c r="L10" s="21" t="s">
        <v>34</v>
      </c>
      <c r="M10" s="37"/>
      <c r="N10" s="37"/>
      <c r="O10" s="9" t="n">
        <v>46175</v>
      </c>
      <c r="P10" s="37"/>
      <c r="Q10" s="6"/>
    </row>
    <row r="11" customFormat="false" ht="15" hidden="false" customHeight="false" outlineLevel="0" collapsed="false">
      <c r="A11" s="38" t="s">
        <v>252</v>
      </c>
      <c r="B11" s="15" t="s">
        <v>46</v>
      </c>
      <c r="C11" s="15" t="s">
        <v>47</v>
      </c>
      <c r="D11" s="15" t="s">
        <v>265</v>
      </c>
      <c r="E11" s="15"/>
      <c r="F11" s="16" t="n">
        <v>46030</v>
      </c>
      <c r="G11" s="17" t="n">
        <v>1736</v>
      </c>
      <c r="H11" s="17" t="n">
        <f aca="false">IFERROR(xlookup(B11,liveprices!$a:$a,liveprices!$d:$d),1589)</f>
        <v>1589</v>
      </c>
      <c r="I11" s="20" t="n">
        <v>-0.084</v>
      </c>
      <c r="J11" s="20" t="n">
        <f aca="false">IF(G11=0,"",(H11-G11)/G11)</f>
        <v>-0.0846774193548387</v>
      </c>
      <c r="K11" s="14" t="s">
        <v>256</v>
      </c>
      <c r="L11" s="22" t="s">
        <v>34</v>
      </c>
      <c r="M11" s="37"/>
      <c r="N11" s="37"/>
      <c r="O11" s="16" t="n">
        <v>46175</v>
      </c>
      <c r="P11" s="37"/>
      <c r="Q11" s="15"/>
    </row>
    <row r="12" customFormat="false" ht="15" hidden="false" customHeight="false" outlineLevel="0" collapsed="false">
      <c r="A12" s="36" t="s">
        <v>252</v>
      </c>
      <c r="B12" s="6" t="s">
        <v>48</v>
      </c>
      <c r="C12" s="6" t="s">
        <v>49</v>
      </c>
      <c r="D12" s="6" t="s">
        <v>266</v>
      </c>
      <c r="E12" s="6"/>
      <c r="F12" s="9" t="n">
        <v>46030</v>
      </c>
      <c r="G12" s="10" t="n">
        <v>335</v>
      </c>
      <c r="H12" s="10" t="n">
        <f aca="false">IFERROR(xlookup(B12,liveprices!$a:$a,liveprices!$d:$d),336)</f>
        <v>336</v>
      </c>
      <c r="I12" s="13" t="n">
        <v>0</v>
      </c>
      <c r="J12" s="13" t="n">
        <f aca="false">IF(G12=0,"",(H12-G12)/G12)</f>
        <v>0.00298507462686567</v>
      </c>
      <c r="K12" s="8" t="s">
        <v>256</v>
      </c>
      <c r="L12" s="21" t="s">
        <v>34</v>
      </c>
      <c r="M12" s="37"/>
      <c r="N12" s="37"/>
      <c r="O12" s="9" t="n">
        <v>46175</v>
      </c>
      <c r="P12" s="37"/>
      <c r="Q12" s="6"/>
    </row>
    <row r="13" customFormat="false" ht="15" hidden="false" customHeight="false" outlineLevel="0" collapsed="false">
      <c r="A13" s="38" t="s">
        <v>252</v>
      </c>
      <c r="B13" s="15" t="s">
        <v>50</v>
      </c>
      <c r="C13" s="15" t="s">
        <v>51</v>
      </c>
      <c r="D13" s="15" t="s">
        <v>267</v>
      </c>
      <c r="E13" s="15"/>
      <c r="F13" s="16" t="n">
        <v>46030</v>
      </c>
      <c r="G13" s="17" t="n">
        <v>159</v>
      </c>
      <c r="H13" s="17" t="n">
        <f aca="false">IFERROR(xlookup(B13,liveprices!$a:$a,liveprices!$d:$d),151)</f>
        <v>151</v>
      </c>
      <c r="I13" s="20" t="n">
        <v>-0.04</v>
      </c>
      <c r="J13" s="20" t="n">
        <f aca="false">IF(G13=0,"",(H13-G13)/G13)</f>
        <v>-0.050314465408805</v>
      </c>
      <c r="K13" s="14" t="s">
        <v>256</v>
      </c>
      <c r="L13" s="22" t="s">
        <v>34</v>
      </c>
      <c r="M13" s="37"/>
      <c r="N13" s="37"/>
      <c r="O13" s="16" t="n">
        <v>46175</v>
      </c>
      <c r="P13" s="37"/>
      <c r="Q13" s="15"/>
    </row>
    <row r="14" customFormat="false" ht="15" hidden="false" customHeight="false" outlineLevel="0" collapsed="false">
      <c r="A14" s="36" t="s">
        <v>252</v>
      </c>
      <c r="B14" s="6" t="s">
        <v>52</v>
      </c>
      <c r="C14" s="6" t="s">
        <v>53</v>
      </c>
      <c r="D14" s="6" t="s">
        <v>268</v>
      </c>
      <c r="E14" s="6"/>
      <c r="F14" s="9" t="n">
        <v>46021</v>
      </c>
      <c r="G14" s="10" t="n">
        <v>315</v>
      </c>
      <c r="H14" s="10" t="n">
        <f aca="false">IFERROR(xlookup(B14,liveprices!$a:$a,liveprices!$d:$d),260)</f>
        <v>260</v>
      </c>
      <c r="I14" s="13" t="n">
        <v>-0.17</v>
      </c>
      <c r="J14" s="13" t="n">
        <f aca="false">IF(G14=0,"",(H14-G14)/G14)</f>
        <v>-0.174603174603175</v>
      </c>
      <c r="K14" s="8" t="s">
        <v>256</v>
      </c>
      <c r="L14" s="21" t="s">
        <v>34</v>
      </c>
      <c r="M14" s="37"/>
      <c r="N14" s="37"/>
      <c r="O14" s="9" t="n">
        <v>46175</v>
      </c>
      <c r="P14" s="37"/>
      <c r="Q14" s="6"/>
    </row>
    <row r="15" customFormat="false" ht="15" hidden="false" customHeight="false" outlineLevel="0" collapsed="false">
      <c r="A15" s="38" t="s">
        <v>252</v>
      </c>
      <c r="B15" s="15" t="s">
        <v>54</v>
      </c>
      <c r="C15" s="15" t="s">
        <v>55</v>
      </c>
      <c r="D15" s="15" t="s">
        <v>269</v>
      </c>
      <c r="E15" s="15"/>
      <c r="F15" s="16" t="n">
        <v>45986</v>
      </c>
      <c r="G15" s="17" t="n">
        <v>96.4</v>
      </c>
      <c r="H15" s="17" t="n">
        <f aca="false">IFERROR(xlookup(B15,liveprices!$a:$a,liveprices!$d:$d),106)</f>
        <v>106</v>
      </c>
      <c r="I15" s="20" t="n">
        <v>0.1</v>
      </c>
      <c r="J15" s="20" t="n">
        <f aca="false">IF(G15=0,"",(H15-G15)/G15)</f>
        <v>0.0995850622406638</v>
      </c>
      <c r="K15" s="14" t="s">
        <v>256</v>
      </c>
      <c r="L15" s="22" t="s">
        <v>34</v>
      </c>
      <c r="M15" s="37"/>
      <c r="N15" s="37"/>
      <c r="O15" s="16" t="n">
        <v>46175</v>
      </c>
      <c r="P15" s="37"/>
      <c r="Q15" s="15"/>
    </row>
    <row r="16" customFormat="false" ht="15" hidden="false" customHeight="false" outlineLevel="0" collapsed="false">
      <c r="A16" s="36" t="s">
        <v>252</v>
      </c>
      <c r="B16" s="6" t="s">
        <v>56</v>
      </c>
      <c r="C16" s="6" t="s">
        <v>27</v>
      </c>
      <c r="D16" s="6" t="s">
        <v>270</v>
      </c>
      <c r="E16" s="6"/>
      <c r="F16" s="9" t="n">
        <v>45923</v>
      </c>
      <c r="G16" s="10" t="n">
        <v>1759</v>
      </c>
      <c r="H16" s="10" t="n">
        <f aca="false">IFERROR(xlookup(B16,liveprices!$a:$a,liveprices!$d:$d),2406)</f>
        <v>2406</v>
      </c>
      <c r="I16" s="13" t="n">
        <v>0.37</v>
      </c>
      <c r="J16" s="13" t="n">
        <f aca="false">IF(G16=0,"",(H16-G16)/G16)</f>
        <v>0.367822626492325</v>
      </c>
      <c r="K16" s="8" t="s">
        <v>256</v>
      </c>
      <c r="L16" s="21" t="s">
        <v>34</v>
      </c>
      <c r="M16" s="37"/>
      <c r="N16" s="37"/>
      <c r="O16" s="9" t="n">
        <v>46175</v>
      </c>
      <c r="P16" s="37"/>
      <c r="Q16" s="6"/>
    </row>
    <row r="17" customFormat="false" ht="15" hidden="false" customHeight="false" outlineLevel="0" collapsed="false">
      <c r="A17" s="38" t="s">
        <v>252</v>
      </c>
      <c r="B17" s="15" t="s">
        <v>57</v>
      </c>
      <c r="C17" s="15" t="s">
        <v>58</v>
      </c>
      <c r="D17" s="15" t="s">
        <v>271</v>
      </c>
      <c r="E17" s="15"/>
      <c r="F17" s="16" t="n">
        <v>45911</v>
      </c>
      <c r="G17" s="17" t="n">
        <v>179</v>
      </c>
      <c r="H17" s="17" t="n">
        <f aca="false">IFERROR(xlookup(B17,liveprices!$a:$a,liveprices!$d:$d),115)</f>
        <v>115</v>
      </c>
      <c r="I17" s="20" t="n">
        <v>-0.35</v>
      </c>
      <c r="J17" s="20" t="n">
        <f aca="false">IF(G17=0,"",(H17-G17)/G17)</f>
        <v>-0.357541899441341</v>
      </c>
      <c r="K17" s="14" t="s">
        <v>256</v>
      </c>
      <c r="L17" s="22" t="s">
        <v>34</v>
      </c>
      <c r="M17" s="37"/>
      <c r="N17" s="37"/>
      <c r="O17" s="16" t="n">
        <v>46175</v>
      </c>
      <c r="P17" s="37"/>
      <c r="Q17" s="15"/>
    </row>
    <row r="18" customFormat="false" ht="15" hidden="false" customHeight="false" outlineLevel="0" collapsed="false">
      <c r="A18" s="36" t="s">
        <v>252</v>
      </c>
      <c r="B18" s="6" t="s">
        <v>59</v>
      </c>
      <c r="C18" s="6" t="s">
        <v>60</v>
      </c>
      <c r="D18" s="6" t="s">
        <v>272</v>
      </c>
      <c r="E18" s="6"/>
      <c r="F18" s="9" t="n">
        <v>45911</v>
      </c>
      <c r="G18" s="10" t="n">
        <v>114.5</v>
      </c>
      <c r="H18" s="10" t="n">
        <f aca="false">IFERROR(xlookup(B18,liveprices!$a:$a,liveprices!$d:$d),120)</f>
        <v>120</v>
      </c>
      <c r="I18" s="13" t="n">
        <v>0.048</v>
      </c>
      <c r="J18" s="13" t="n">
        <f aca="false">IF(G18=0,"",(H18-G18)/G18)</f>
        <v>0.0480349344978166</v>
      </c>
      <c r="K18" s="8" t="s">
        <v>254</v>
      </c>
      <c r="L18" s="21" t="s">
        <v>34</v>
      </c>
      <c r="M18" s="37"/>
      <c r="N18" s="37"/>
      <c r="O18" s="9" t="n">
        <v>46175</v>
      </c>
      <c r="P18" s="37"/>
      <c r="Q18" s="6"/>
    </row>
    <row r="19" customFormat="false" ht="15" hidden="false" customHeight="false" outlineLevel="0" collapsed="false">
      <c r="A19" s="38" t="s">
        <v>252</v>
      </c>
      <c r="B19" s="15" t="s">
        <v>61</v>
      </c>
      <c r="C19" s="15" t="s">
        <v>62</v>
      </c>
      <c r="D19" s="15" t="s">
        <v>273</v>
      </c>
      <c r="E19" s="15"/>
      <c r="F19" s="16" t="n">
        <v>45821</v>
      </c>
      <c r="G19" s="17" t="n">
        <v>889</v>
      </c>
      <c r="H19" s="17" t="n">
        <f aca="false">IFERROR(xlookup(B19,liveprices!$a:$a,liveprices!$d:$d),805)</f>
        <v>805</v>
      </c>
      <c r="I19" s="20" t="n">
        <v>-0.09</v>
      </c>
      <c r="J19" s="20" t="n">
        <f aca="false">IF(G19=0,"",(H19-G19)/G19)</f>
        <v>-0.094488188976378</v>
      </c>
      <c r="K19" s="14" t="s">
        <v>254</v>
      </c>
      <c r="L19" s="22" t="s">
        <v>34</v>
      </c>
      <c r="M19" s="37"/>
      <c r="N19" s="37"/>
      <c r="O19" s="16" t="n">
        <v>46175</v>
      </c>
      <c r="P19" s="37"/>
      <c r="Q19" s="15"/>
    </row>
    <row r="20" customFormat="false" ht="15" hidden="false" customHeight="false" outlineLevel="0" collapsed="false">
      <c r="A20" s="36" t="s">
        <v>252</v>
      </c>
      <c r="B20" s="6" t="s">
        <v>63</v>
      </c>
      <c r="C20" s="6" t="s">
        <v>64</v>
      </c>
      <c r="D20" s="6"/>
      <c r="E20" s="6" t="s">
        <v>274</v>
      </c>
      <c r="F20" s="9" t="n">
        <v>45800</v>
      </c>
      <c r="G20" s="10" t="n">
        <v>454</v>
      </c>
      <c r="H20" s="10" t="n">
        <f aca="false">IFERROR(xlookup(B20,liveprices!$a:$a,liveprices!$d:$d),525)</f>
        <v>525</v>
      </c>
      <c r="I20" s="13" t="n">
        <v>0.156</v>
      </c>
      <c r="J20" s="13" t="n">
        <f aca="false">IF(G20=0,"",(H20-G20)/G20)</f>
        <v>0.156387665198238</v>
      </c>
      <c r="K20" s="8" t="s">
        <v>254</v>
      </c>
      <c r="L20" s="21" t="s">
        <v>34</v>
      </c>
      <c r="M20" s="37"/>
      <c r="N20" s="37"/>
      <c r="O20" s="9" t="n">
        <v>46175</v>
      </c>
      <c r="P20" s="37"/>
      <c r="Q20" s="6"/>
    </row>
    <row r="21" customFormat="false" ht="15" hidden="false" customHeight="false" outlineLevel="0" collapsed="false">
      <c r="A21" s="38" t="s">
        <v>252</v>
      </c>
      <c r="B21" s="15" t="s">
        <v>65</v>
      </c>
      <c r="C21" s="15" t="s">
        <v>58</v>
      </c>
      <c r="D21" s="15" t="s">
        <v>275</v>
      </c>
      <c r="E21" s="15"/>
      <c r="F21" s="16" t="n">
        <v>45776</v>
      </c>
      <c r="G21" s="17" t="n">
        <v>637</v>
      </c>
      <c r="H21" s="17" t="n">
        <f aca="false">IFERROR(xlookup(B21,liveprices!$a:$a,liveprices!$d:$d),735)</f>
        <v>735</v>
      </c>
      <c r="I21" s="20" t="n">
        <v>0.16</v>
      </c>
      <c r="J21" s="20" t="n">
        <f aca="false">IF(G21=0,"",(H21-G21)/G21)</f>
        <v>0.153846153846154</v>
      </c>
      <c r="K21" s="14" t="s">
        <v>256</v>
      </c>
      <c r="L21" s="22" t="s">
        <v>34</v>
      </c>
      <c r="M21" s="37"/>
      <c r="N21" s="37"/>
      <c r="O21" s="16" t="n">
        <v>46175</v>
      </c>
      <c r="P21" s="37"/>
      <c r="Q21" s="15"/>
    </row>
    <row r="22" customFormat="false" ht="15" hidden="false" customHeight="false" outlineLevel="0" collapsed="false">
      <c r="A22" s="36" t="s">
        <v>252</v>
      </c>
      <c r="B22" s="6" t="s">
        <v>66</v>
      </c>
      <c r="C22" s="6" t="s">
        <v>36</v>
      </c>
      <c r="D22" s="6" t="s">
        <v>276</v>
      </c>
      <c r="E22" s="6"/>
      <c r="F22" s="9" t="n">
        <v>45770</v>
      </c>
      <c r="G22" s="10" t="n">
        <v>761</v>
      </c>
      <c r="H22" s="10" t="n">
        <f aca="false">IFERROR(xlookup(B22,liveprices!$a:$a,liveprices!$d:$d),1492)</f>
        <v>1492</v>
      </c>
      <c r="I22" s="13" t="n">
        <v>0.96</v>
      </c>
      <c r="J22" s="13" t="n">
        <f aca="false">IF(G22=0,"",(H22-G22)/G22)</f>
        <v>0.960578186596583</v>
      </c>
      <c r="K22" s="8" t="s">
        <v>256</v>
      </c>
      <c r="L22" s="21" t="s">
        <v>34</v>
      </c>
      <c r="M22" s="37"/>
      <c r="N22" s="37"/>
      <c r="O22" s="9" t="n">
        <v>46175</v>
      </c>
      <c r="P22" s="37"/>
      <c r="Q22" s="6"/>
    </row>
    <row r="23" customFormat="false" ht="15" hidden="false" customHeight="false" outlineLevel="0" collapsed="false">
      <c r="A23" s="38" t="s">
        <v>252</v>
      </c>
      <c r="B23" s="15" t="s">
        <v>67</v>
      </c>
      <c r="C23" s="15" t="s">
        <v>68</v>
      </c>
      <c r="D23" s="15" t="s">
        <v>277</v>
      </c>
      <c r="E23" s="15"/>
      <c r="F23" s="16" t="n">
        <v>45736</v>
      </c>
      <c r="G23" s="17" t="n">
        <v>554</v>
      </c>
      <c r="H23" s="17" t="n">
        <f aca="false">IFERROR(xlookup(B23,liveprices!$a:$a,liveprices!$d:$d),1112)</f>
        <v>1112</v>
      </c>
      <c r="I23" s="20" t="n">
        <v>1</v>
      </c>
      <c r="J23" s="20" t="n">
        <f aca="false">IF(G23=0,"",(H23-G23)/G23)</f>
        <v>1.0072202166065</v>
      </c>
      <c r="K23" s="14" t="s">
        <v>256</v>
      </c>
      <c r="L23" s="22" t="s">
        <v>34</v>
      </c>
      <c r="M23" s="37"/>
      <c r="N23" s="37"/>
      <c r="O23" s="16" t="n">
        <v>46175</v>
      </c>
      <c r="P23" s="37"/>
      <c r="Q23" s="15"/>
    </row>
    <row r="24" customFormat="false" ht="15" hidden="false" customHeight="false" outlineLevel="0" collapsed="false">
      <c r="A24" s="36" t="s">
        <v>252</v>
      </c>
      <c r="B24" s="6" t="s">
        <v>69</v>
      </c>
      <c r="C24" s="6" t="s">
        <v>58</v>
      </c>
      <c r="D24" s="6" t="s">
        <v>278</v>
      </c>
      <c r="E24" s="6"/>
      <c r="F24" s="9" t="n">
        <v>45736</v>
      </c>
      <c r="G24" s="10" t="n">
        <v>58.3</v>
      </c>
      <c r="H24" s="10" t="n">
        <f aca="false">IFERROR(xlookup(B24,liveprices!$a:$a,liveprices!$d:$d),65.8)</f>
        <v>65.8</v>
      </c>
      <c r="I24" s="13" t="n">
        <v>0.128</v>
      </c>
      <c r="J24" s="13" t="n">
        <f aca="false">IF(G24=0,"",(H24-G24)/G24)</f>
        <v>0.128644939965695</v>
      </c>
      <c r="K24" s="8" t="s">
        <v>254</v>
      </c>
      <c r="L24" s="21" t="s">
        <v>34</v>
      </c>
      <c r="M24" s="37"/>
      <c r="N24" s="37"/>
      <c r="O24" s="9" t="n">
        <v>46175</v>
      </c>
      <c r="P24" s="37"/>
      <c r="Q24" s="6"/>
    </row>
    <row r="25" customFormat="false" ht="15" hidden="false" customHeight="false" outlineLevel="0" collapsed="false">
      <c r="A25" s="38" t="s">
        <v>252</v>
      </c>
      <c r="B25" s="15" t="s">
        <v>70</v>
      </c>
      <c r="C25" s="15" t="s">
        <v>64</v>
      </c>
      <c r="D25" s="15" t="s">
        <v>279</v>
      </c>
      <c r="E25" s="15"/>
      <c r="F25" s="16" t="n">
        <v>45727</v>
      </c>
      <c r="G25" s="17" t="n">
        <v>689</v>
      </c>
      <c r="H25" s="17" t="n">
        <f aca="false">IFERROR(xlookup(B25,liveprices!$a:$a,liveprices!$d:$d),1148)</f>
        <v>1148</v>
      </c>
      <c r="I25" s="20" t="n">
        <v>0.667</v>
      </c>
      <c r="J25" s="20" t="n">
        <f aca="false">IF(G25=0,"",(H25-G25)/G25)</f>
        <v>0.666182873730044</v>
      </c>
      <c r="K25" s="14" t="s">
        <v>256</v>
      </c>
      <c r="L25" s="22" t="s">
        <v>34</v>
      </c>
      <c r="M25" s="37"/>
      <c r="N25" s="37"/>
      <c r="O25" s="16" t="n">
        <v>46175</v>
      </c>
      <c r="P25" s="37"/>
      <c r="Q25" s="15"/>
    </row>
    <row r="26" customFormat="false" ht="15" hidden="false" customHeight="false" outlineLevel="0" collapsed="false">
      <c r="A26" s="36" t="s">
        <v>252</v>
      </c>
      <c r="B26" s="6" t="s">
        <v>71</v>
      </c>
      <c r="C26" s="6" t="s">
        <v>72</v>
      </c>
      <c r="D26" s="6"/>
      <c r="E26" s="6" t="s">
        <v>280</v>
      </c>
      <c r="F26" s="9" t="n">
        <v>45727</v>
      </c>
      <c r="G26" s="10" t="n">
        <v>521</v>
      </c>
      <c r="H26" s="10" t="n">
        <f aca="false">IFERROR(xlookup(B26,liveprices!$a:$a,liveprices!$d:$d),481)</f>
        <v>481</v>
      </c>
      <c r="I26" s="13" t="n">
        <v>-0.076</v>
      </c>
      <c r="J26" s="13" t="n">
        <f aca="false">IF(G26=0,"",(H26-G26)/G26)</f>
        <v>-0.0767754318618042</v>
      </c>
      <c r="K26" s="8" t="s">
        <v>256</v>
      </c>
      <c r="L26" s="21" t="s">
        <v>34</v>
      </c>
      <c r="M26" s="37"/>
      <c r="N26" s="37"/>
      <c r="O26" s="9" t="n">
        <v>46175</v>
      </c>
      <c r="P26" s="37"/>
      <c r="Q26" s="6"/>
    </row>
    <row r="27" customFormat="false" ht="15" hidden="false" customHeight="false" outlineLevel="0" collapsed="false">
      <c r="A27" s="38" t="s">
        <v>252</v>
      </c>
      <c r="B27" s="15" t="s">
        <v>73</v>
      </c>
      <c r="C27" s="15" t="s">
        <v>74</v>
      </c>
      <c r="D27" s="15" t="s">
        <v>281</v>
      </c>
      <c r="E27" s="15"/>
      <c r="F27" s="16" t="n">
        <v>45726</v>
      </c>
      <c r="G27" s="17" t="n">
        <v>543.6</v>
      </c>
      <c r="H27" s="17" t="n">
        <f aca="false">IFERROR(xlookup(B27,liveprices!$a:$a,liveprices!$d:$d),670)</f>
        <v>670</v>
      </c>
      <c r="I27" s="20" t="n">
        <v>0.232</v>
      </c>
      <c r="J27" s="20" t="n">
        <f aca="false">IF(G27=0,"",(H27-G27)/G27)</f>
        <v>0.23252391464312</v>
      </c>
      <c r="K27" s="14" t="s">
        <v>254</v>
      </c>
      <c r="L27" s="22" t="s">
        <v>34</v>
      </c>
      <c r="M27" s="37"/>
      <c r="N27" s="37"/>
      <c r="O27" s="16" t="n">
        <v>46175</v>
      </c>
      <c r="P27" s="37"/>
      <c r="Q27" s="15"/>
    </row>
    <row r="28" customFormat="false" ht="15" hidden="false" customHeight="false" outlineLevel="0" collapsed="false">
      <c r="A28" s="36" t="s">
        <v>252</v>
      </c>
      <c r="B28" s="6" t="s">
        <v>75</v>
      </c>
      <c r="C28" s="6" t="s">
        <v>60</v>
      </c>
      <c r="D28" s="6" t="s">
        <v>282</v>
      </c>
      <c r="E28" s="6"/>
      <c r="F28" s="9" t="n">
        <v>45726</v>
      </c>
      <c r="G28" s="10" t="n">
        <v>474</v>
      </c>
      <c r="H28" s="10" t="n">
        <f aca="false">IFERROR(xlookup(B28,liveprices!$a:$a,liveprices!$d:$d),530)</f>
        <v>530</v>
      </c>
      <c r="I28" s="13" t="n">
        <v>0.122</v>
      </c>
      <c r="J28" s="13" t="n">
        <f aca="false">IF(G28=0,"",(H28-G28)/G28)</f>
        <v>0.118143459915612</v>
      </c>
      <c r="K28" s="8" t="s">
        <v>256</v>
      </c>
      <c r="L28" s="21" t="s">
        <v>34</v>
      </c>
      <c r="M28" s="37"/>
      <c r="N28" s="37"/>
      <c r="O28" s="9" t="n">
        <v>46175</v>
      </c>
      <c r="P28" s="37"/>
      <c r="Q28" s="6"/>
    </row>
    <row r="29" customFormat="false" ht="15" hidden="false" customHeight="false" outlineLevel="0" collapsed="false">
      <c r="A29" s="38" t="s">
        <v>252</v>
      </c>
      <c r="B29" s="15" t="s">
        <v>76</v>
      </c>
      <c r="C29" s="15" t="s">
        <v>62</v>
      </c>
      <c r="D29" s="15" t="s">
        <v>283</v>
      </c>
      <c r="E29" s="15"/>
      <c r="F29" s="16" t="n">
        <v>45726</v>
      </c>
      <c r="G29" s="17" t="n">
        <v>343</v>
      </c>
      <c r="H29" s="17" t="n">
        <f aca="false">IFERROR(xlookup(B29,liveprices!$a:$a,liveprices!$d:$d),547)</f>
        <v>547</v>
      </c>
      <c r="I29" s="20" t="n">
        <v>0.59</v>
      </c>
      <c r="J29" s="20" t="n">
        <f aca="false">IF(G29=0,"",(H29-G29)/G29)</f>
        <v>0.594752186588921</v>
      </c>
      <c r="K29" s="14" t="s">
        <v>254</v>
      </c>
      <c r="L29" s="22" t="s">
        <v>34</v>
      </c>
      <c r="M29" s="37"/>
      <c r="N29" s="37"/>
      <c r="O29" s="16" t="n">
        <v>46175</v>
      </c>
      <c r="P29" s="37"/>
      <c r="Q29" s="15"/>
    </row>
    <row r="30" customFormat="false" ht="15" hidden="false" customHeight="false" outlineLevel="0" collapsed="false">
      <c r="A30" s="39" t="s">
        <v>284</v>
      </c>
      <c r="B30" s="6" t="s">
        <v>79</v>
      </c>
      <c r="C30" s="6" t="s">
        <v>80</v>
      </c>
      <c r="D30" s="6"/>
      <c r="E30" s="6" t="s">
        <v>285</v>
      </c>
      <c r="F30" s="9" t="n">
        <v>46120</v>
      </c>
      <c r="G30" s="10" t="n">
        <v>74.5</v>
      </c>
      <c r="H30" s="10" t="n">
        <f aca="false">IFERROR(xlookup(B30,liveprices!$a:$a,liveprices!$d:$d),86)</f>
        <v>86</v>
      </c>
      <c r="I30" s="13" t="n">
        <v>0.154</v>
      </c>
      <c r="J30" s="13" t="n">
        <f aca="false">IF(G30=0,"",(H30-G30)/G30)</f>
        <v>0.154362416107383</v>
      </c>
      <c r="K30" s="8" t="s">
        <v>286</v>
      </c>
      <c r="L30" s="21" t="s">
        <v>34</v>
      </c>
      <c r="M30" s="37"/>
      <c r="N30" s="37"/>
      <c r="O30" s="9" t="n">
        <v>46175</v>
      </c>
      <c r="P30" s="37"/>
      <c r="Q30" s="6"/>
    </row>
    <row r="31" customFormat="false" ht="15" hidden="false" customHeight="false" outlineLevel="0" collapsed="false">
      <c r="A31" s="40" t="s">
        <v>284</v>
      </c>
      <c r="B31" s="15" t="s">
        <v>81</v>
      </c>
      <c r="C31" s="15" t="s">
        <v>33</v>
      </c>
      <c r="D31" s="15"/>
      <c r="E31" s="15" t="s">
        <v>287</v>
      </c>
      <c r="F31" s="16" t="n">
        <v>46043</v>
      </c>
      <c r="G31" s="17" t="n">
        <v>968</v>
      </c>
      <c r="H31" s="17" t="n">
        <f aca="false">IFERROR(xlookup(B31,liveprices!$a:$a,liveprices!$d:$d),863)</f>
        <v>863</v>
      </c>
      <c r="I31" s="20" t="n">
        <v>-0.108</v>
      </c>
      <c r="J31" s="20" t="n">
        <f aca="false">IF(G31=0,"",(H31-G31)/G31)</f>
        <v>-0.108471074380165</v>
      </c>
      <c r="K31" s="14" t="s">
        <v>288</v>
      </c>
      <c r="L31" s="22" t="s">
        <v>34</v>
      </c>
      <c r="M31" s="37"/>
      <c r="N31" s="37"/>
      <c r="O31" s="16" t="n">
        <v>46175</v>
      </c>
      <c r="P31" s="37"/>
      <c r="Q31" s="15"/>
    </row>
    <row r="32" customFormat="false" ht="15" hidden="false" customHeight="false" outlineLevel="0" collapsed="false">
      <c r="A32" s="39" t="s">
        <v>284</v>
      </c>
      <c r="B32" s="6" t="s">
        <v>82</v>
      </c>
      <c r="C32" s="6" t="s">
        <v>83</v>
      </c>
      <c r="D32" s="6"/>
      <c r="E32" s="6"/>
      <c r="F32" s="9" t="n">
        <v>46038</v>
      </c>
      <c r="G32" s="10" t="n">
        <v>162</v>
      </c>
      <c r="H32" s="10" t="n">
        <f aca="false">IFERROR(xlookup(B32,liveprices!$a:$a,liveprices!$d:$d),156)</f>
        <v>156</v>
      </c>
      <c r="I32" s="13" t="n">
        <v>-0.037</v>
      </c>
      <c r="J32" s="13" t="n">
        <f aca="false">IF(G32=0,"",(H32-G32)/G32)</f>
        <v>-0.037037037037037</v>
      </c>
      <c r="K32" s="8" t="s">
        <v>286</v>
      </c>
      <c r="L32" s="21" t="s">
        <v>34</v>
      </c>
      <c r="M32" s="37"/>
      <c r="N32" s="37"/>
      <c r="O32" s="9" t="n">
        <v>46175</v>
      </c>
      <c r="P32" s="37"/>
      <c r="Q32" s="6"/>
    </row>
    <row r="33" customFormat="false" ht="15" hidden="false" customHeight="false" outlineLevel="0" collapsed="false">
      <c r="A33" s="40" t="s">
        <v>284</v>
      </c>
      <c r="B33" s="15" t="s">
        <v>84</v>
      </c>
      <c r="C33" s="15" t="s">
        <v>36</v>
      </c>
      <c r="D33" s="15" t="s">
        <v>289</v>
      </c>
      <c r="E33" s="15"/>
      <c r="F33" s="16" t="n">
        <v>46034</v>
      </c>
      <c r="G33" s="17" t="n">
        <v>295</v>
      </c>
      <c r="H33" s="17" t="n">
        <f aca="false">IFERROR(xlookup(B33,liveprices!$a:$a,liveprices!$d:$d),329)</f>
        <v>329</v>
      </c>
      <c r="I33" s="20" t="n">
        <v>0.115</v>
      </c>
      <c r="J33" s="20" t="n">
        <f aca="false">IF(G33=0,"",(H33-G33)/G33)</f>
        <v>0.115254237288136</v>
      </c>
      <c r="K33" s="14" t="s">
        <v>288</v>
      </c>
      <c r="L33" s="22" t="s">
        <v>34</v>
      </c>
      <c r="M33" s="37"/>
      <c r="N33" s="37"/>
      <c r="O33" s="16" t="n">
        <v>46175</v>
      </c>
      <c r="P33" s="37"/>
      <c r="Q33" s="15"/>
    </row>
    <row r="34" customFormat="false" ht="15" hidden="false" customHeight="false" outlineLevel="0" collapsed="false">
      <c r="A34" s="39" t="s">
        <v>284</v>
      </c>
      <c r="B34" s="6" t="s">
        <v>85</v>
      </c>
      <c r="C34" s="6" t="s">
        <v>86</v>
      </c>
      <c r="D34" s="6" t="s">
        <v>290</v>
      </c>
      <c r="E34" s="6"/>
      <c r="F34" s="9" t="n">
        <v>46003</v>
      </c>
      <c r="G34" s="10" t="n">
        <v>160</v>
      </c>
      <c r="H34" s="10" t="n">
        <f aca="false">IFERROR(xlookup(B34,liveprices!$a:$a,liveprices!$d:$d),207)</f>
        <v>207</v>
      </c>
      <c r="I34" s="13" t="n">
        <v>0.293</v>
      </c>
      <c r="J34" s="13" t="n">
        <f aca="false">IF(G34=0,"",(H34-G34)/G34)</f>
        <v>0.29375</v>
      </c>
      <c r="K34" s="8" t="s">
        <v>286</v>
      </c>
      <c r="L34" s="21" t="s">
        <v>34</v>
      </c>
      <c r="M34" s="37"/>
      <c r="N34" s="37"/>
      <c r="O34" s="9" t="n">
        <v>46175</v>
      </c>
      <c r="P34" s="37"/>
      <c r="Q34" s="6"/>
    </row>
    <row r="35" customFormat="false" ht="15" hidden="false" customHeight="false" outlineLevel="0" collapsed="false">
      <c r="A35" s="40" t="s">
        <v>284</v>
      </c>
      <c r="B35" s="15" t="s">
        <v>87</v>
      </c>
      <c r="C35" s="15" t="s">
        <v>88</v>
      </c>
      <c r="D35" s="15" t="s">
        <v>291</v>
      </c>
      <c r="E35" s="15"/>
      <c r="F35" s="16" t="n">
        <v>45999</v>
      </c>
      <c r="G35" s="17" t="n">
        <v>515</v>
      </c>
      <c r="H35" s="17" t="n">
        <f aca="false">IFERROR(xlookup(B35,liveprices!$a:$a,liveprices!$d:$d),601)</f>
        <v>601</v>
      </c>
      <c r="I35" s="20" t="n">
        <v>0.167</v>
      </c>
      <c r="J35" s="20" t="n">
        <f aca="false">IF(G35=0,"",(H35-G35)/G35)</f>
        <v>0.166990291262136</v>
      </c>
      <c r="K35" s="14" t="s">
        <v>286</v>
      </c>
      <c r="L35" s="22" t="s">
        <v>34</v>
      </c>
      <c r="M35" s="37"/>
      <c r="N35" s="37"/>
      <c r="O35" s="16" t="n">
        <v>46175</v>
      </c>
      <c r="P35" s="37"/>
      <c r="Q35" s="15"/>
    </row>
    <row r="36" customFormat="false" ht="15" hidden="false" customHeight="false" outlineLevel="0" collapsed="false">
      <c r="A36" s="39" t="s">
        <v>284</v>
      </c>
      <c r="B36" s="6" t="s">
        <v>89</v>
      </c>
      <c r="C36" s="6" t="s">
        <v>64</v>
      </c>
      <c r="D36" s="6"/>
      <c r="E36" s="6" t="s">
        <v>292</v>
      </c>
      <c r="F36" s="9" t="n">
        <v>45950</v>
      </c>
      <c r="G36" s="10" t="n">
        <v>395.8</v>
      </c>
      <c r="H36" s="10" t="n">
        <f aca="false">IFERROR(xlookup(B36,liveprices!$a:$a,liveprices!$d:$d),430)</f>
        <v>430</v>
      </c>
      <c r="I36" s="13" t="n">
        <v>0.088</v>
      </c>
      <c r="J36" s="13" t="n">
        <f aca="false">IF(G36=0,"",(H36-G36)/G36)</f>
        <v>0.0864072764022233</v>
      </c>
      <c r="K36" s="8" t="s">
        <v>286</v>
      </c>
      <c r="L36" s="21" t="s">
        <v>34</v>
      </c>
      <c r="M36" s="37"/>
      <c r="N36" s="37"/>
      <c r="O36" s="9" t="n">
        <v>46175</v>
      </c>
      <c r="P36" s="37"/>
      <c r="Q36" s="6"/>
    </row>
    <row r="37" customFormat="false" ht="15" hidden="false" customHeight="false" outlineLevel="0" collapsed="false">
      <c r="A37" s="40" t="s">
        <v>284</v>
      </c>
      <c r="B37" s="15" t="s">
        <v>90</v>
      </c>
      <c r="C37" s="15" t="s">
        <v>91</v>
      </c>
      <c r="D37" s="15"/>
      <c r="E37" s="15" t="s">
        <v>293</v>
      </c>
      <c r="F37" s="16" t="n">
        <v>45944</v>
      </c>
      <c r="G37" s="17" t="n">
        <v>617</v>
      </c>
      <c r="H37" s="17" t="n">
        <f aca="false">IFERROR(xlookup(B37,liveprices!$a:$a,liveprices!$d:$d),770)</f>
        <v>770</v>
      </c>
      <c r="I37" s="20" t="n">
        <v>0.248</v>
      </c>
      <c r="J37" s="20" t="n">
        <f aca="false">IF(G37=0,"",(H37-G37)/G37)</f>
        <v>0.247974068071313</v>
      </c>
      <c r="K37" s="14" t="s">
        <v>286</v>
      </c>
      <c r="L37" s="22" t="s">
        <v>34</v>
      </c>
      <c r="M37" s="37"/>
      <c r="N37" s="37"/>
      <c r="O37" s="16" t="n">
        <v>46175</v>
      </c>
      <c r="P37" s="37"/>
      <c r="Q37" s="15"/>
    </row>
    <row r="38" customFormat="false" ht="15" hidden="false" customHeight="false" outlineLevel="0" collapsed="false">
      <c r="A38" s="39" t="s">
        <v>284</v>
      </c>
      <c r="B38" s="6" t="s">
        <v>92</v>
      </c>
      <c r="C38" s="6" t="s">
        <v>58</v>
      </c>
      <c r="D38" s="6" t="s">
        <v>294</v>
      </c>
      <c r="E38" s="6"/>
      <c r="F38" s="9" t="n">
        <v>45943</v>
      </c>
      <c r="G38" s="10" t="n">
        <v>465</v>
      </c>
      <c r="H38" s="10" t="n">
        <f aca="false">IFERROR(xlookup(B38,liveprices!$a:$a,liveprices!$d:$d),409)</f>
        <v>409</v>
      </c>
      <c r="I38" s="13" t="n">
        <v>-0.12</v>
      </c>
      <c r="J38" s="13" t="n">
        <f aca="false">IF(G38=0,"",(H38-G38)/G38)</f>
        <v>-0.120430107526882</v>
      </c>
      <c r="K38" s="8" t="s">
        <v>286</v>
      </c>
      <c r="L38" s="21" t="s">
        <v>34</v>
      </c>
      <c r="M38" s="37"/>
      <c r="N38" s="37"/>
      <c r="O38" s="9" t="n">
        <v>46175</v>
      </c>
      <c r="P38" s="37"/>
      <c r="Q38" s="6"/>
    </row>
    <row r="39" customFormat="false" ht="15" hidden="false" customHeight="false" outlineLevel="0" collapsed="false">
      <c r="A39" s="40" t="s">
        <v>284</v>
      </c>
      <c r="B39" s="15" t="s">
        <v>93</v>
      </c>
      <c r="C39" s="15" t="s">
        <v>60</v>
      </c>
      <c r="D39" s="15" t="s">
        <v>295</v>
      </c>
      <c r="E39" s="15"/>
      <c r="F39" s="16" t="n">
        <v>45943</v>
      </c>
      <c r="G39" s="17" t="n">
        <v>87</v>
      </c>
      <c r="H39" s="17" t="n">
        <f aca="false">IFERROR(xlookup(B39,liveprices!$a:$a,liveprices!$d:$d),57)</f>
        <v>57</v>
      </c>
      <c r="I39" s="20" t="n">
        <v>-0.344</v>
      </c>
      <c r="J39" s="20" t="n">
        <f aca="false">IF(G39=0,"",(H39-G39)/G39)</f>
        <v>-0.344827586206897</v>
      </c>
      <c r="K39" s="14" t="s">
        <v>286</v>
      </c>
      <c r="L39" s="22" t="s">
        <v>34</v>
      </c>
      <c r="M39" s="37"/>
      <c r="N39" s="37"/>
      <c r="O39" s="16" t="n">
        <v>46175</v>
      </c>
      <c r="P39" s="37"/>
      <c r="Q39" s="15"/>
    </row>
    <row r="40" customFormat="false" ht="15" hidden="false" customHeight="false" outlineLevel="0" collapsed="false">
      <c r="A40" s="39" t="s">
        <v>284</v>
      </c>
      <c r="B40" s="6" t="s">
        <v>94</v>
      </c>
      <c r="C40" s="6" t="s">
        <v>27</v>
      </c>
      <c r="D40" s="6" t="s">
        <v>296</v>
      </c>
      <c r="E40" s="6"/>
      <c r="F40" s="9" t="n">
        <v>45908</v>
      </c>
      <c r="G40" s="10" t="n">
        <v>897</v>
      </c>
      <c r="H40" s="10" t="n">
        <f aca="false">IFERROR(xlookup(B40,liveprices!$a:$a,liveprices!$d:$d),866)</f>
        <v>866</v>
      </c>
      <c r="I40" s="13" t="n">
        <v>-0.034</v>
      </c>
      <c r="J40" s="13" t="n">
        <f aca="false">IF(G40=0,"",(H40-G40)/G40)</f>
        <v>-0.0345596432552954</v>
      </c>
      <c r="K40" s="8" t="s">
        <v>288</v>
      </c>
      <c r="L40" s="21" t="s">
        <v>34</v>
      </c>
      <c r="M40" s="37"/>
      <c r="N40" s="37"/>
      <c r="O40" s="9" t="n">
        <v>46175</v>
      </c>
      <c r="P40" s="37"/>
      <c r="Q40" s="6"/>
    </row>
    <row r="41" customFormat="false" ht="15" hidden="false" customHeight="false" outlineLevel="0" collapsed="false">
      <c r="A41" s="40" t="s">
        <v>284</v>
      </c>
      <c r="B41" s="15" t="s">
        <v>95</v>
      </c>
      <c r="C41" s="15" t="s">
        <v>96</v>
      </c>
      <c r="D41" s="15" t="s">
        <v>297</v>
      </c>
      <c r="E41" s="15"/>
      <c r="F41" s="16" t="n">
        <v>45895</v>
      </c>
      <c r="G41" s="17" t="n">
        <v>170</v>
      </c>
      <c r="H41" s="17" t="n">
        <f aca="false">IFERROR(xlookup(B41,liveprices!$a:$a,liveprices!$d:$d),106)</f>
        <v>106</v>
      </c>
      <c r="I41" s="20" t="n">
        <v>-0.376</v>
      </c>
      <c r="J41" s="20" t="n">
        <f aca="false">IF(G41=0,"",(H41-G41)/G41)</f>
        <v>-0.376470588235294</v>
      </c>
      <c r="K41" s="14" t="s">
        <v>286</v>
      </c>
      <c r="L41" s="22" t="s">
        <v>34</v>
      </c>
      <c r="M41" s="37"/>
      <c r="N41" s="37"/>
      <c r="O41" s="16" t="n">
        <v>46175</v>
      </c>
      <c r="P41" s="37"/>
      <c r="Q41" s="15"/>
    </row>
    <row r="42" customFormat="false" ht="15" hidden="false" customHeight="false" outlineLevel="0" collapsed="false">
      <c r="A42" s="39" t="s">
        <v>284</v>
      </c>
      <c r="B42" s="6" t="s">
        <v>97</v>
      </c>
      <c r="C42" s="6" t="s">
        <v>96</v>
      </c>
      <c r="D42" s="6" t="s">
        <v>298</v>
      </c>
      <c r="E42" s="6"/>
      <c r="F42" s="9" t="n">
        <v>45895</v>
      </c>
      <c r="G42" s="10" t="n">
        <v>440</v>
      </c>
      <c r="H42" s="10" t="n">
        <f aca="false">IFERROR(xlookup(B42,liveprices!$a:$a,liveprices!$d:$d),245)</f>
        <v>245</v>
      </c>
      <c r="I42" s="13" t="n">
        <v>-0.443</v>
      </c>
      <c r="J42" s="13" t="n">
        <f aca="false">IF(G42=0,"",(H42-G42)/G42)</f>
        <v>-0.443181818181818</v>
      </c>
      <c r="K42" s="8" t="s">
        <v>288</v>
      </c>
      <c r="L42" s="21" t="s">
        <v>34</v>
      </c>
      <c r="M42" s="37"/>
      <c r="N42" s="37"/>
      <c r="O42" s="9" t="n">
        <v>46175</v>
      </c>
      <c r="P42" s="37"/>
      <c r="Q42" s="6"/>
    </row>
    <row r="43" customFormat="false" ht="15" hidden="false" customHeight="false" outlineLevel="0" collapsed="false">
      <c r="A43" s="41" t="s">
        <v>10</v>
      </c>
      <c r="B43" s="15" t="s">
        <v>106</v>
      </c>
      <c r="C43" s="15" t="s">
        <v>107</v>
      </c>
      <c r="D43" s="15" t="s">
        <v>261</v>
      </c>
      <c r="E43" s="15"/>
      <c r="F43" s="16" t="n">
        <v>45180</v>
      </c>
      <c r="G43" s="17" t="n">
        <v>1021</v>
      </c>
      <c r="H43" s="17" t="n">
        <f aca="false">IFERROR(xlookup(B43,liveprices!$a:$a,liveprices!$d:$d),1021)</f>
        <v>1021</v>
      </c>
      <c r="I43" s="20"/>
      <c r="J43" s="20" t="n">
        <f aca="false">IF(G43=0,"",(H43-G43)/G43)</f>
        <v>0</v>
      </c>
      <c r="K43" s="14" t="s">
        <v>288</v>
      </c>
      <c r="L43" s="22" t="s">
        <v>34</v>
      </c>
      <c r="M43" s="37"/>
      <c r="N43" s="37"/>
      <c r="O43" s="16" t="n">
        <v>46169</v>
      </c>
      <c r="P43" s="37"/>
      <c r="Q43" s="15" t="s">
        <v>299</v>
      </c>
    </row>
    <row r="44" customFormat="false" ht="15" hidden="false" customHeight="false" outlineLevel="0" collapsed="false">
      <c r="A44" s="42" t="s">
        <v>10</v>
      </c>
      <c r="B44" s="6" t="s">
        <v>111</v>
      </c>
      <c r="C44" s="6" t="s">
        <v>112</v>
      </c>
      <c r="D44" s="6" t="s">
        <v>300</v>
      </c>
      <c r="E44" s="6"/>
      <c r="F44" s="9" t="n">
        <v>45204</v>
      </c>
      <c r="G44" s="10" t="n">
        <v>680</v>
      </c>
      <c r="H44" s="10" t="n">
        <f aca="false">IFERROR(xlookup(B44,liveprices!$a:$a,liveprices!$d:$d),680)</f>
        <v>680</v>
      </c>
      <c r="I44" s="13"/>
      <c r="J44" s="13" t="n">
        <f aca="false">IF(G44=0,"",(H44-G44)/G44)</f>
        <v>0</v>
      </c>
      <c r="K44" s="8" t="s">
        <v>286</v>
      </c>
      <c r="L44" s="21" t="s">
        <v>34</v>
      </c>
      <c r="M44" s="37"/>
      <c r="N44" s="37"/>
      <c r="O44" s="9" t="n">
        <v>46169</v>
      </c>
      <c r="P44" s="37"/>
      <c r="Q44" s="6" t="s">
        <v>301</v>
      </c>
    </row>
    <row r="45" customFormat="false" ht="15" hidden="false" customHeight="false" outlineLevel="0" collapsed="false">
      <c r="A45" s="41" t="s">
        <v>10</v>
      </c>
      <c r="B45" s="15" t="s">
        <v>117</v>
      </c>
      <c r="C45" s="15" t="s">
        <v>118</v>
      </c>
      <c r="D45" s="15" t="s">
        <v>117</v>
      </c>
      <c r="E45" s="15"/>
      <c r="F45" s="16" t="n">
        <v>45224</v>
      </c>
      <c r="G45" s="17" t="n">
        <v>122</v>
      </c>
      <c r="H45" s="17" t="n">
        <f aca="false">IFERROR(xlookup(B45,liveprices!$a:$a,liveprices!$d:$d),122)</f>
        <v>122</v>
      </c>
      <c r="I45" s="20"/>
      <c r="J45" s="20" t="n">
        <f aca="false">IF(G45=0,"",(H45-G45)/G45)</f>
        <v>0</v>
      </c>
      <c r="K45" s="14" t="s">
        <v>286</v>
      </c>
      <c r="L45" s="22" t="s">
        <v>34</v>
      </c>
      <c r="M45" s="37"/>
      <c r="N45" s="37"/>
      <c r="O45" s="16" t="n">
        <v>46169</v>
      </c>
      <c r="P45" s="37"/>
      <c r="Q45" s="15" t="s">
        <v>302</v>
      </c>
    </row>
    <row r="46" customFormat="false" ht="15" hidden="false" customHeight="false" outlineLevel="0" collapsed="false">
      <c r="A46" s="42" t="s">
        <v>10</v>
      </c>
      <c r="B46" s="6" t="s">
        <v>120</v>
      </c>
      <c r="C46" s="6" t="s">
        <v>121</v>
      </c>
      <c r="D46" s="6" t="s">
        <v>303</v>
      </c>
      <c r="E46" s="6"/>
      <c r="F46" s="9" t="n">
        <v>45264</v>
      </c>
      <c r="G46" s="10" t="n">
        <v>676</v>
      </c>
      <c r="H46" s="10" t="n">
        <f aca="false">IFERROR(xlookup(B46,liveprices!$a:$a,liveprices!$d:$d),676)</f>
        <v>676</v>
      </c>
      <c r="I46" s="13"/>
      <c r="J46" s="13" t="n">
        <f aca="false">IF(G46=0,"",(H46-G46)/G46)</f>
        <v>0</v>
      </c>
      <c r="K46" s="8" t="s">
        <v>286</v>
      </c>
      <c r="L46" s="21" t="s">
        <v>34</v>
      </c>
      <c r="M46" s="37"/>
      <c r="N46" s="37"/>
      <c r="O46" s="9" t="n">
        <v>46169</v>
      </c>
      <c r="P46" s="37"/>
      <c r="Q46" s="6" t="s">
        <v>304</v>
      </c>
    </row>
    <row r="47" customFormat="false" ht="15" hidden="false" customHeight="false" outlineLevel="0" collapsed="false">
      <c r="A47" s="41" t="s">
        <v>10</v>
      </c>
      <c r="B47" s="15" t="s">
        <v>123</v>
      </c>
      <c r="C47" s="15" t="s">
        <v>124</v>
      </c>
      <c r="D47" s="15" t="s">
        <v>305</v>
      </c>
      <c r="E47" s="15"/>
      <c r="F47" s="16" t="n">
        <v>45281</v>
      </c>
      <c r="G47" s="17" t="n">
        <v>2487</v>
      </c>
      <c r="H47" s="17" t="n">
        <f aca="false">IFERROR(xlookup(B47,liveprices!$a:$a,liveprices!$d:$d),2487)</f>
        <v>2487</v>
      </c>
      <c r="I47" s="20"/>
      <c r="J47" s="20" t="n">
        <f aca="false">IF(G47=0,"",(H47-G47)/G47)</f>
        <v>0</v>
      </c>
      <c r="K47" s="14" t="s">
        <v>306</v>
      </c>
      <c r="L47" s="22" t="s">
        <v>34</v>
      </c>
      <c r="M47" s="37"/>
      <c r="N47" s="37"/>
      <c r="O47" s="16" t="n">
        <v>46169</v>
      </c>
      <c r="P47" s="37"/>
      <c r="Q47" s="15" t="s">
        <v>307</v>
      </c>
    </row>
    <row r="48" customFormat="false" ht="15" hidden="false" customHeight="false" outlineLevel="0" collapsed="false">
      <c r="A48" s="42" t="s">
        <v>10</v>
      </c>
      <c r="B48" s="6" t="s">
        <v>44</v>
      </c>
      <c r="C48" s="6" t="s">
        <v>126</v>
      </c>
      <c r="D48" s="6" t="s">
        <v>263</v>
      </c>
      <c r="E48" s="6"/>
      <c r="F48" s="9" t="n">
        <v>45427</v>
      </c>
      <c r="G48" s="10" t="n">
        <v>200</v>
      </c>
      <c r="H48" s="10" t="n">
        <f aca="false">IFERROR(xlookup(B48,liveprices!$a:$a,liveprices!$d:$d),200)</f>
        <v>200</v>
      </c>
      <c r="I48" s="13"/>
      <c r="J48" s="13" t="n">
        <f aca="false">IF(G48=0,"",(H48-G48)/G48)</f>
        <v>0</v>
      </c>
      <c r="K48" s="8" t="s">
        <v>288</v>
      </c>
      <c r="L48" s="21" t="s">
        <v>34</v>
      </c>
      <c r="M48" s="37"/>
      <c r="N48" s="37"/>
      <c r="O48" s="9" t="n">
        <v>46169</v>
      </c>
      <c r="P48" s="37"/>
      <c r="Q48" s="6" t="s">
        <v>308</v>
      </c>
    </row>
    <row r="49" customFormat="false" ht="15" hidden="false" customHeight="false" outlineLevel="0" collapsed="false">
      <c r="A49" s="41" t="s">
        <v>10</v>
      </c>
      <c r="B49" s="15" t="s">
        <v>128</v>
      </c>
      <c r="C49" s="15" t="s">
        <v>112</v>
      </c>
      <c r="D49" s="15" t="s">
        <v>309</v>
      </c>
      <c r="E49" s="15"/>
      <c r="F49" s="16" t="n">
        <v>45555</v>
      </c>
      <c r="G49" s="17" t="n">
        <v>1250</v>
      </c>
      <c r="H49" s="17" t="n">
        <f aca="false">IFERROR(xlookup(B49,liveprices!$a:$a,liveprices!$d:$d),1250)</f>
        <v>1250</v>
      </c>
      <c r="I49" s="20"/>
      <c r="J49" s="20" t="n">
        <f aca="false">IF(G49=0,"",(H49-G49)/G49)</f>
        <v>0</v>
      </c>
      <c r="K49" s="14" t="s">
        <v>286</v>
      </c>
      <c r="L49" s="22" t="s">
        <v>34</v>
      </c>
      <c r="M49" s="37"/>
      <c r="N49" s="37"/>
      <c r="O49" s="16" t="n">
        <v>46169</v>
      </c>
      <c r="P49" s="37"/>
      <c r="Q49" s="15" t="s">
        <v>310</v>
      </c>
    </row>
    <row r="50" customFormat="false" ht="15" hidden="false" customHeight="false" outlineLevel="0" collapsed="false">
      <c r="A50" s="42" t="s">
        <v>10</v>
      </c>
      <c r="B50" s="6" t="s">
        <v>130</v>
      </c>
      <c r="C50" s="6" t="s">
        <v>112</v>
      </c>
      <c r="D50" s="6" t="s">
        <v>311</v>
      </c>
      <c r="E50" s="6"/>
      <c r="F50" s="9" t="n">
        <v>45670</v>
      </c>
      <c r="G50" s="10" t="n">
        <v>206</v>
      </c>
      <c r="H50" s="10" t="n">
        <f aca="false">IFERROR(xlookup(B50,liveprices!$a:$a,liveprices!$d:$d),206)</f>
        <v>206</v>
      </c>
      <c r="I50" s="13"/>
      <c r="J50" s="13" t="n">
        <f aca="false">IF(G50=0,"",(H50-G50)/G50)</f>
        <v>0</v>
      </c>
      <c r="K50" s="8" t="s">
        <v>286</v>
      </c>
      <c r="L50" s="21" t="s">
        <v>34</v>
      </c>
      <c r="M50" s="37"/>
      <c r="N50" s="37"/>
      <c r="O50" s="9" t="n">
        <v>46169</v>
      </c>
      <c r="P50" s="37"/>
      <c r="Q50" s="6" t="s">
        <v>312</v>
      </c>
    </row>
    <row r="51" customFormat="false" ht="15" hidden="false" customHeight="false" outlineLevel="0" collapsed="false">
      <c r="A51" s="41" t="s">
        <v>10</v>
      </c>
      <c r="B51" s="15" t="s">
        <v>132</v>
      </c>
      <c r="C51" s="15" t="s">
        <v>133</v>
      </c>
      <c r="D51" s="15" t="s">
        <v>313</v>
      </c>
      <c r="E51" s="15"/>
      <c r="F51" s="16" t="n">
        <v>45699</v>
      </c>
      <c r="G51" s="17" t="n">
        <v>731</v>
      </c>
      <c r="H51" s="17" t="n">
        <f aca="false">IFERROR(xlookup(B51,liveprices!$a:$a,liveprices!$d:$d),731)</f>
        <v>731</v>
      </c>
      <c r="I51" s="20"/>
      <c r="J51" s="20" t="n">
        <f aca="false">IF(G51=0,"",(H51-G51)/G51)</f>
        <v>0</v>
      </c>
      <c r="K51" s="14" t="s">
        <v>286</v>
      </c>
      <c r="L51" s="22" t="s">
        <v>34</v>
      </c>
      <c r="M51" s="37"/>
      <c r="N51" s="37"/>
      <c r="O51" s="16" t="n">
        <v>46169</v>
      </c>
      <c r="P51" s="37"/>
      <c r="Q51" s="15" t="s">
        <v>314</v>
      </c>
    </row>
    <row r="52" customFormat="false" ht="15" hidden="false" customHeight="false" outlineLevel="0" collapsed="false">
      <c r="A52" s="42" t="s">
        <v>10</v>
      </c>
      <c r="B52" s="6" t="s">
        <v>135</v>
      </c>
      <c r="C52" s="6" t="s">
        <v>47</v>
      </c>
      <c r="D52" s="6" t="s">
        <v>315</v>
      </c>
      <c r="E52" s="6"/>
      <c r="F52" s="9" t="n">
        <v>45834</v>
      </c>
      <c r="G52" s="10" t="n">
        <v>809</v>
      </c>
      <c r="H52" s="10" t="n">
        <f aca="false">IFERROR(xlookup(B52,liveprices!$a:$a,liveprices!$d:$d),809)</f>
        <v>809</v>
      </c>
      <c r="I52" s="13"/>
      <c r="J52" s="13" t="n">
        <f aca="false">IF(G52=0,"",(H52-G52)/G52)</f>
        <v>0</v>
      </c>
      <c r="K52" s="8" t="s">
        <v>316</v>
      </c>
      <c r="L52" s="21" t="s">
        <v>34</v>
      </c>
      <c r="M52" s="37"/>
      <c r="N52" s="37"/>
      <c r="O52" s="9" t="n">
        <v>46169</v>
      </c>
      <c r="P52" s="37"/>
      <c r="Q52" s="6" t="s">
        <v>317</v>
      </c>
    </row>
    <row r="53" customFormat="false" ht="15" hidden="false" customHeight="false" outlineLevel="0" collapsed="false">
      <c r="A53" s="41" t="s">
        <v>10</v>
      </c>
      <c r="B53" s="15" t="s">
        <v>139</v>
      </c>
      <c r="C53" s="15" t="s">
        <v>124</v>
      </c>
      <c r="D53" s="15" t="s">
        <v>267</v>
      </c>
      <c r="E53" s="15"/>
      <c r="F53" s="16" t="n">
        <v>45866</v>
      </c>
      <c r="G53" s="17" t="n">
        <v>131</v>
      </c>
      <c r="H53" s="17" t="n">
        <f aca="false">IFERROR(xlookup(B53,liveprices!$a:$a,liveprices!$d:$d),131)</f>
        <v>131</v>
      </c>
      <c r="I53" s="20"/>
      <c r="J53" s="20" t="n">
        <f aca="false">IF(G53=0,"",(H53-G53)/G53)</f>
        <v>0</v>
      </c>
      <c r="K53" s="14" t="s">
        <v>286</v>
      </c>
      <c r="L53" s="22" t="s">
        <v>34</v>
      </c>
      <c r="M53" s="37"/>
      <c r="N53" s="37"/>
      <c r="O53" s="16" t="n">
        <v>46169</v>
      </c>
      <c r="P53" s="37"/>
      <c r="Q53" s="15" t="s">
        <v>318</v>
      </c>
    </row>
    <row r="54" customFormat="false" ht="15" hidden="false" customHeight="false" outlineLevel="0" collapsed="false">
      <c r="A54" s="42" t="s">
        <v>10</v>
      </c>
      <c r="B54" s="6" t="s">
        <v>141</v>
      </c>
      <c r="C54" s="6" t="s">
        <v>142</v>
      </c>
      <c r="D54" s="6" t="s">
        <v>319</v>
      </c>
      <c r="E54" s="6"/>
      <c r="F54" s="9" t="n">
        <v>45868</v>
      </c>
      <c r="G54" s="10" t="n">
        <v>1592</v>
      </c>
      <c r="H54" s="10" t="n">
        <f aca="false">IFERROR(xlookup(B54,liveprices!$a:$a,liveprices!$d:$d),1592)</f>
        <v>1592</v>
      </c>
      <c r="I54" s="13"/>
      <c r="J54" s="13" t="n">
        <f aca="false">IF(G54=0,"",(H54-G54)/G54)</f>
        <v>0</v>
      </c>
      <c r="K54" s="8" t="s">
        <v>286</v>
      </c>
      <c r="L54" s="21" t="s">
        <v>34</v>
      </c>
      <c r="M54" s="37"/>
      <c r="N54" s="37"/>
      <c r="O54" s="9" t="n">
        <v>46169</v>
      </c>
      <c r="P54" s="37"/>
      <c r="Q54" s="6" t="s">
        <v>320</v>
      </c>
    </row>
    <row r="55" customFormat="false" ht="15" hidden="false" customHeight="false" outlineLevel="0" collapsed="false">
      <c r="A55" s="41" t="s">
        <v>10</v>
      </c>
      <c r="B55" s="15" t="s">
        <v>144</v>
      </c>
      <c r="C55" s="15" t="s">
        <v>142</v>
      </c>
      <c r="D55" s="15" t="s">
        <v>321</v>
      </c>
      <c r="E55" s="15"/>
      <c r="F55" s="16" t="n">
        <v>45868</v>
      </c>
      <c r="G55" s="17" t="n">
        <v>550</v>
      </c>
      <c r="H55" s="17" t="n">
        <f aca="false">IFERROR(xlookup(B55,liveprices!$a:$a,liveprices!$d:$d),550)</f>
        <v>550</v>
      </c>
      <c r="I55" s="20"/>
      <c r="J55" s="20" t="n">
        <f aca="false">IF(G55=0,"",(H55-G55)/G55)</f>
        <v>0</v>
      </c>
      <c r="K55" s="14" t="s">
        <v>306</v>
      </c>
      <c r="L55" s="22" t="s">
        <v>34</v>
      </c>
      <c r="M55" s="37"/>
      <c r="N55" s="37"/>
      <c r="O55" s="16" t="n">
        <v>46169</v>
      </c>
      <c r="P55" s="37"/>
      <c r="Q55" s="15" t="s">
        <v>322</v>
      </c>
    </row>
    <row r="56" customFormat="false" ht="15" hidden="false" customHeight="false" outlineLevel="0" collapsed="false">
      <c r="A56" s="42" t="s">
        <v>10</v>
      </c>
      <c r="B56" s="6" t="s">
        <v>146</v>
      </c>
      <c r="C56" s="6" t="s">
        <v>147</v>
      </c>
      <c r="D56" s="6" t="s">
        <v>323</v>
      </c>
      <c r="E56" s="6"/>
      <c r="F56" s="9" t="n">
        <v>45981</v>
      </c>
      <c r="G56" s="10" t="n">
        <v>1496</v>
      </c>
      <c r="H56" s="10" t="n">
        <f aca="false">IFERROR(xlookup(B56,liveprices!$a:$a,liveprices!$d:$d),1496)</f>
        <v>1496</v>
      </c>
      <c r="I56" s="13"/>
      <c r="J56" s="13" t="n">
        <f aca="false">IF(G56=0,"",(H56-G56)/G56)</f>
        <v>0</v>
      </c>
      <c r="K56" s="8" t="s">
        <v>288</v>
      </c>
      <c r="L56" s="21" t="s">
        <v>34</v>
      </c>
      <c r="M56" s="37"/>
      <c r="N56" s="37"/>
      <c r="O56" s="9" t="n">
        <v>46169</v>
      </c>
      <c r="P56" s="37"/>
      <c r="Q56" s="6" t="s">
        <v>324</v>
      </c>
    </row>
    <row r="57" customFormat="false" ht="15" hidden="false" customHeight="false" outlineLevel="0" collapsed="false">
      <c r="A57" s="41" t="s">
        <v>10</v>
      </c>
      <c r="B57" s="15" t="s">
        <v>148</v>
      </c>
      <c r="C57" s="15" t="s">
        <v>149</v>
      </c>
      <c r="D57" s="15" t="s">
        <v>325</v>
      </c>
      <c r="E57" s="15"/>
      <c r="F57" s="16" t="n">
        <v>45992</v>
      </c>
      <c r="G57" s="17" t="n">
        <v>1352</v>
      </c>
      <c r="H57" s="17" t="n">
        <f aca="false">IFERROR(xlookup(B57,liveprices!$a:$a,liveprices!$d:$d),1352)</f>
        <v>1352</v>
      </c>
      <c r="I57" s="20"/>
      <c r="J57" s="20" t="n">
        <f aca="false">IF(G57=0,"",(H57-G57)/G57)</f>
        <v>0</v>
      </c>
      <c r="K57" s="14" t="s">
        <v>288</v>
      </c>
      <c r="L57" s="22" t="s">
        <v>34</v>
      </c>
      <c r="M57" s="37"/>
      <c r="N57" s="37"/>
      <c r="O57" s="16" t="n">
        <v>46169</v>
      </c>
      <c r="P57" s="37"/>
      <c r="Q57" s="15" t="s">
        <v>326</v>
      </c>
    </row>
    <row r="58" customFormat="false" ht="15" hidden="false" customHeight="false" outlineLevel="0" collapsed="false">
      <c r="A58" s="42" t="s">
        <v>10</v>
      </c>
      <c r="B58" s="6" t="s">
        <v>151</v>
      </c>
      <c r="C58" s="6" t="s">
        <v>40</v>
      </c>
      <c r="D58" s="6" t="s">
        <v>327</v>
      </c>
      <c r="E58" s="6"/>
      <c r="F58" s="9" t="n">
        <v>46007</v>
      </c>
      <c r="G58" s="10" t="n">
        <v>1703</v>
      </c>
      <c r="H58" s="10" t="n">
        <f aca="false">IFERROR(xlookup(B58,liveprices!$a:$a,liveprices!$d:$d),1703)</f>
        <v>1703</v>
      </c>
      <c r="I58" s="13"/>
      <c r="J58" s="13" t="n">
        <f aca="false">IF(G58=0,"",(H58-G58)/G58)</f>
        <v>0</v>
      </c>
      <c r="K58" s="8" t="s">
        <v>286</v>
      </c>
      <c r="L58" s="21" t="s">
        <v>34</v>
      </c>
      <c r="M58" s="37"/>
      <c r="N58" s="37"/>
      <c r="O58" s="9" t="n">
        <v>46169</v>
      </c>
      <c r="P58" s="37"/>
      <c r="Q58" s="6" t="s">
        <v>328</v>
      </c>
    </row>
    <row r="59" customFormat="false" ht="15" hidden="false" customHeight="false" outlineLevel="0" collapsed="false">
      <c r="A59" s="41" t="s">
        <v>10</v>
      </c>
      <c r="B59" s="15" t="s">
        <v>35</v>
      </c>
      <c r="C59" s="15" t="s">
        <v>154</v>
      </c>
      <c r="D59" s="15" t="s">
        <v>258</v>
      </c>
      <c r="E59" s="15"/>
      <c r="F59" s="16" t="n">
        <v>46014</v>
      </c>
      <c r="G59" s="17" t="n">
        <v>863</v>
      </c>
      <c r="H59" s="17" t="n">
        <f aca="false">IFERROR(xlookup(B59,liveprices!$a:$a,liveprices!$d:$d),863)</f>
        <v>863</v>
      </c>
      <c r="I59" s="20"/>
      <c r="J59" s="20" t="n">
        <f aca="false">IF(G59=0,"",(H59-G59)/G59)</f>
        <v>0</v>
      </c>
      <c r="K59" s="14" t="s">
        <v>286</v>
      </c>
      <c r="L59" s="22" t="s">
        <v>34</v>
      </c>
      <c r="M59" s="37"/>
      <c r="N59" s="37"/>
      <c r="O59" s="16" t="n">
        <v>46169</v>
      </c>
      <c r="P59" s="37"/>
      <c r="Q59" s="15" t="s">
        <v>329</v>
      </c>
    </row>
    <row r="60" customFormat="false" ht="15" hidden="false" customHeight="false" outlineLevel="0" collapsed="false">
      <c r="A60" s="42" t="s">
        <v>10</v>
      </c>
      <c r="B60" s="6" t="s">
        <v>156</v>
      </c>
      <c r="C60" s="6" t="s">
        <v>142</v>
      </c>
      <c r="D60" s="6" t="s">
        <v>330</v>
      </c>
      <c r="E60" s="6"/>
      <c r="F60" s="9" t="n">
        <v>46051</v>
      </c>
      <c r="G60" s="10" t="n">
        <v>2824</v>
      </c>
      <c r="H60" s="10" t="n">
        <f aca="false">IFERROR(xlookup(B60,liveprices!$a:$a,liveprices!$d:$d),2824)</f>
        <v>2824</v>
      </c>
      <c r="I60" s="13"/>
      <c r="J60" s="13" t="n">
        <f aca="false">IF(G60=0,"",(H60-G60)/G60)</f>
        <v>0</v>
      </c>
      <c r="K60" s="8" t="s">
        <v>286</v>
      </c>
      <c r="L60" s="21" t="s">
        <v>34</v>
      </c>
      <c r="M60" s="37"/>
      <c r="N60" s="37"/>
      <c r="O60" s="9" t="n">
        <v>46169</v>
      </c>
      <c r="P60" s="37"/>
      <c r="Q60" s="6" t="s">
        <v>331</v>
      </c>
    </row>
    <row r="61" customFormat="false" ht="15" hidden="false" customHeight="false" outlineLevel="0" collapsed="false">
      <c r="A61" s="41" t="s">
        <v>10</v>
      </c>
      <c r="B61" s="15" t="s">
        <v>158</v>
      </c>
      <c r="C61" s="15" t="s">
        <v>159</v>
      </c>
      <c r="D61" s="15" t="s">
        <v>332</v>
      </c>
      <c r="E61" s="15"/>
      <c r="F61" s="16" t="n">
        <v>46056</v>
      </c>
      <c r="G61" s="17" t="n">
        <v>4148</v>
      </c>
      <c r="H61" s="17" t="n">
        <f aca="false">IFERROR(xlookup(B61,liveprices!$a:$a,liveprices!$d:$d),4148)</f>
        <v>4148</v>
      </c>
      <c r="I61" s="20"/>
      <c r="J61" s="20" t="n">
        <f aca="false">IF(G61=0,"",(H61-G61)/G61)</f>
        <v>0</v>
      </c>
      <c r="K61" s="14" t="s">
        <v>286</v>
      </c>
      <c r="L61" s="22" t="s">
        <v>34</v>
      </c>
      <c r="M61" s="37"/>
      <c r="N61" s="37"/>
      <c r="O61" s="16" t="n">
        <v>46169</v>
      </c>
      <c r="P61" s="37"/>
      <c r="Q61" s="15" t="s">
        <v>333</v>
      </c>
    </row>
    <row r="62" customFormat="false" ht="15" hidden="false" customHeight="false" outlineLevel="0" collapsed="false">
      <c r="A62" s="42" t="s">
        <v>10</v>
      </c>
      <c r="B62" s="6" t="s">
        <v>161</v>
      </c>
      <c r="C62" s="6" t="s">
        <v>133</v>
      </c>
      <c r="D62" s="6" t="s">
        <v>334</v>
      </c>
      <c r="E62" s="6"/>
      <c r="F62" s="9" t="n">
        <v>46063</v>
      </c>
      <c r="G62" s="10" t="n">
        <v>921</v>
      </c>
      <c r="H62" s="10" t="n">
        <f aca="false">IFERROR(xlookup(B62,liveprices!$a:$a,liveprices!$d:$d),921)</f>
        <v>921</v>
      </c>
      <c r="I62" s="13"/>
      <c r="J62" s="13" t="n">
        <f aca="false">IF(G62=0,"",(H62-G62)/G62)</f>
        <v>0</v>
      </c>
      <c r="K62" s="8" t="s">
        <v>286</v>
      </c>
      <c r="L62" s="21" t="s">
        <v>34</v>
      </c>
      <c r="M62" s="37"/>
      <c r="N62" s="37"/>
      <c r="O62" s="9" t="n">
        <v>46169</v>
      </c>
      <c r="P62" s="37"/>
      <c r="Q62" s="6" t="s">
        <v>335</v>
      </c>
    </row>
    <row r="63" customFormat="false" ht="15" hidden="false" customHeight="false" outlineLevel="0" collapsed="false">
      <c r="A63" s="41" t="s">
        <v>10</v>
      </c>
      <c r="B63" s="15" t="s">
        <v>163</v>
      </c>
      <c r="C63" s="15" t="s">
        <v>164</v>
      </c>
      <c r="D63" s="15" t="s">
        <v>336</v>
      </c>
      <c r="E63" s="15"/>
      <c r="F63" s="16" t="n">
        <v>46091</v>
      </c>
      <c r="G63" s="17" t="n">
        <v>272</v>
      </c>
      <c r="H63" s="17" t="n">
        <f aca="false">IFERROR(xlookup(B63,liveprices!$a:$a,liveprices!$d:$d),272)</f>
        <v>272</v>
      </c>
      <c r="I63" s="20"/>
      <c r="J63" s="20" t="n">
        <f aca="false">IF(G63=0,"",(H63-G63)/G63)</f>
        <v>0</v>
      </c>
      <c r="K63" s="14" t="s">
        <v>288</v>
      </c>
      <c r="L63" s="22" t="s">
        <v>34</v>
      </c>
      <c r="M63" s="37"/>
      <c r="N63" s="37"/>
      <c r="O63" s="16" t="n">
        <v>46169</v>
      </c>
      <c r="P63" s="37"/>
      <c r="Q63" s="15" t="s">
        <v>337</v>
      </c>
    </row>
    <row r="64" customFormat="false" ht="15" hidden="false" customHeight="false" outlineLevel="0" collapsed="false">
      <c r="A64" s="42" t="s">
        <v>10</v>
      </c>
      <c r="B64" s="6" t="s">
        <v>167</v>
      </c>
      <c r="C64" s="6" t="s">
        <v>112</v>
      </c>
      <c r="D64" s="6" t="s">
        <v>338</v>
      </c>
      <c r="E64" s="6"/>
      <c r="F64" s="9" t="n">
        <v>46121</v>
      </c>
      <c r="G64" s="10" t="n">
        <v>1186</v>
      </c>
      <c r="H64" s="10" t="n">
        <f aca="false">IFERROR(xlookup(B64,liveprices!$a:$a,liveprices!$d:$d),1186)</f>
        <v>1186</v>
      </c>
      <c r="I64" s="13"/>
      <c r="J64" s="13" t="n">
        <f aca="false">IF(G64=0,"",(H64-G64)/G64)</f>
        <v>0</v>
      </c>
      <c r="K64" s="8" t="s">
        <v>306</v>
      </c>
      <c r="L64" s="21" t="s">
        <v>34</v>
      </c>
      <c r="M64" s="37"/>
      <c r="N64" s="37"/>
      <c r="O64" s="9" t="n">
        <v>46169</v>
      </c>
      <c r="P64" s="37"/>
      <c r="Q64" s="6" t="s">
        <v>339</v>
      </c>
    </row>
    <row r="65" customFormat="false" ht="15" hidden="false" customHeight="false" outlineLevel="0" collapsed="false">
      <c r="A65" s="41" t="s">
        <v>10</v>
      </c>
      <c r="B65" s="15" t="s">
        <v>169</v>
      </c>
      <c r="C65" s="15" t="s">
        <v>170</v>
      </c>
      <c r="D65" s="15" t="s">
        <v>340</v>
      </c>
      <c r="E65" s="15"/>
      <c r="F65" s="16" t="n">
        <v>46139</v>
      </c>
      <c r="G65" s="17" t="n">
        <v>1752</v>
      </c>
      <c r="H65" s="17" t="n">
        <f aca="false">IFERROR(xlookup(B65,liveprices!$a:$a,liveprices!$d:$d),1752)</f>
        <v>1752</v>
      </c>
      <c r="I65" s="20"/>
      <c r="J65" s="20" t="n">
        <f aca="false">IF(G65=0,"",(H65-G65)/G65)</f>
        <v>0</v>
      </c>
      <c r="K65" s="14" t="s">
        <v>306</v>
      </c>
      <c r="L65" s="22" t="s">
        <v>34</v>
      </c>
      <c r="M65" s="37"/>
      <c r="N65" s="37"/>
      <c r="O65" s="16" t="n">
        <v>46169</v>
      </c>
      <c r="P65" s="37"/>
      <c r="Q65" s="15" t="s">
        <v>341</v>
      </c>
    </row>
    <row r="66" customFormat="false" ht="15" hidden="false" customHeight="false" outlineLevel="0" collapsed="false">
      <c r="A66" s="42" t="s">
        <v>10</v>
      </c>
      <c r="B66" s="6" t="s">
        <v>172</v>
      </c>
      <c r="C66" s="6" t="s">
        <v>118</v>
      </c>
      <c r="D66" s="6" t="s">
        <v>342</v>
      </c>
      <c r="E66" s="6"/>
      <c r="F66" s="9" t="n">
        <v>46139</v>
      </c>
      <c r="G66" s="10" t="n">
        <v>606</v>
      </c>
      <c r="H66" s="10" t="n">
        <f aca="false">IFERROR(xlookup(B66,liveprices!$a:$a,liveprices!$d:$d),606)</f>
        <v>606</v>
      </c>
      <c r="I66" s="13"/>
      <c r="J66" s="13" t="n">
        <f aca="false">IF(G66=0,"",(H66-G66)/G66)</f>
        <v>0</v>
      </c>
      <c r="K66" s="8" t="s">
        <v>286</v>
      </c>
      <c r="L66" s="21" t="s">
        <v>34</v>
      </c>
      <c r="M66" s="37"/>
      <c r="N66" s="37"/>
      <c r="O66" s="9" t="n">
        <v>46169</v>
      </c>
      <c r="P66" s="37"/>
      <c r="Q66" s="6" t="s">
        <v>343</v>
      </c>
    </row>
    <row r="67" customFormat="false" ht="15" hidden="false" customHeight="false" outlineLevel="0" collapsed="false">
      <c r="A67" s="41" t="s">
        <v>10</v>
      </c>
      <c r="B67" s="15" t="s">
        <v>174</v>
      </c>
      <c r="C67" s="15" t="s">
        <v>175</v>
      </c>
      <c r="D67" s="15" t="s">
        <v>344</v>
      </c>
      <c r="E67" s="15"/>
      <c r="F67" s="16" t="n">
        <v>46146</v>
      </c>
      <c r="G67" s="17" t="n">
        <v>1650</v>
      </c>
      <c r="H67" s="17" t="n">
        <f aca="false">IFERROR(xlookup(B67,liveprices!$a:$a,liveprices!$d:$d),1650)</f>
        <v>1650</v>
      </c>
      <c r="I67" s="20"/>
      <c r="J67" s="20" t="n">
        <f aca="false">IF(G67=0,"",(H67-G67)/G67)</f>
        <v>0</v>
      </c>
      <c r="K67" s="14" t="s">
        <v>306</v>
      </c>
      <c r="L67" s="22" t="s">
        <v>34</v>
      </c>
      <c r="M67" s="37"/>
      <c r="N67" s="37"/>
      <c r="O67" s="16" t="n">
        <v>46169</v>
      </c>
      <c r="P67" s="37"/>
      <c r="Q67" s="15" t="s">
        <v>345</v>
      </c>
    </row>
    <row r="68" customFormat="false" ht="15" hidden="false" customHeight="false" outlineLevel="0" collapsed="false">
      <c r="A68" s="42" t="s">
        <v>10</v>
      </c>
      <c r="B68" s="6" t="s">
        <v>177</v>
      </c>
      <c r="C68" s="6" t="s">
        <v>62</v>
      </c>
      <c r="D68" s="6" t="s">
        <v>346</v>
      </c>
      <c r="E68" s="6"/>
      <c r="F68" s="9" t="n">
        <v>46146</v>
      </c>
      <c r="G68" s="10" t="n">
        <v>829</v>
      </c>
      <c r="H68" s="10" t="n">
        <f aca="false">IFERROR(xlookup(B68,liveprices!$a:$a,liveprices!$d:$d),829)</f>
        <v>829</v>
      </c>
      <c r="I68" s="13"/>
      <c r="J68" s="13" t="n">
        <f aca="false">IF(G68=0,"",(H68-G68)/G68)</f>
        <v>0</v>
      </c>
      <c r="K68" s="8" t="s">
        <v>286</v>
      </c>
      <c r="L68" s="21" t="s">
        <v>34</v>
      </c>
      <c r="M68" s="37"/>
      <c r="N68" s="37"/>
      <c r="O68" s="9" t="n">
        <v>46169</v>
      </c>
      <c r="P68" s="37"/>
      <c r="Q68" s="6" t="s">
        <v>347</v>
      </c>
    </row>
    <row r="69" customFormat="false" ht="15" hidden="false" customHeight="false" outlineLevel="0" collapsed="false">
      <c r="A69" s="41" t="s">
        <v>10</v>
      </c>
      <c r="B69" s="15" t="s">
        <v>179</v>
      </c>
      <c r="C69" s="15" t="s">
        <v>107</v>
      </c>
      <c r="D69" s="15" t="s">
        <v>348</v>
      </c>
      <c r="E69" s="15"/>
      <c r="F69" s="16" t="n">
        <v>46148</v>
      </c>
      <c r="G69" s="17" t="n">
        <v>755</v>
      </c>
      <c r="H69" s="17" t="n">
        <f aca="false">IFERROR(xlookup(B69,liveprices!$a:$a,liveprices!$d:$d),755)</f>
        <v>755</v>
      </c>
      <c r="I69" s="20"/>
      <c r="J69" s="20" t="n">
        <f aca="false">IF(G69=0,"",(H69-G69)/G69)</f>
        <v>0</v>
      </c>
      <c r="K69" s="14" t="s">
        <v>316</v>
      </c>
      <c r="L69" s="22" t="s">
        <v>34</v>
      </c>
      <c r="M69" s="37"/>
      <c r="N69" s="37"/>
      <c r="O69" s="16" t="n">
        <v>46169</v>
      </c>
      <c r="P69" s="37"/>
      <c r="Q69" s="15" t="s">
        <v>349</v>
      </c>
    </row>
    <row r="70" customFormat="false" ht="15" hidden="false" customHeight="false" outlineLevel="0" collapsed="false">
      <c r="A70" s="42" t="s">
        <v>10</v>
      </c>
      <c r="B70" s="6" t="s">
        <v>181</v>
      </c>
      <c r="C70" s="6" t="s">
        <v>31</v>
      </c>
      <c r="D70" s="6" t="s">
        <v>181</v>
      </c>
      <c r="E70" s="6"/>
      <c r="F70" s="9" t="n">
        <v>46162</v>
      </c>
      <c r="G70" s="10" t="n">
        <v>2614</v>
      </c>
      <c r="H70" s="10" t="n">
        <f aca="false">IFERROR(xlookup(B70,liveprices!$a:$a,liveprices!$d:$d),2614)</f>
        <v>2614</v>
      </c>
      <c r="I70" s="13"/>
      <c r="J70" s="13" t="n">
        <f aca="false">IF(G70=0,"",(H70-G70)/G70)</f>
        <v>0</v>
      </c>
      <c r="K70" s="8" t="s">
        <v>306</v>
      </c>
      <c r="L70" s="21" t="s">
        <v>34</v>
      </c>
      <c r="M70" s="37"/>
      <c r="N70" s="37"/>
      <c r="O70" s="9" t="n">
        <v>46169</v>
      </c>
      <c r="P70" s="37"/>
      <c r="Q70" s="6" t="s">
        <v>350</v>
      </c>
    </row>
    <row r="71" customFormat="false" ht="15" hidden="false" customHeight="false" outlineLevel="0" collapsed="false">
      <c r="A71" s="41" t="s">
        <v>10</v>
      </c>
      <c r="B71" s="15" t="s">
        <v>183</v>
      </c>
      <c r="C71" s="15" t="s">
        <v>184</v>
      </c>
      <c r="D71" s="15" t="s">
        <v>351</v>
      </c>
      <c r="E71" s="15"/>
      <c r="F71" s="16" t="n">
        <v>46169</v>
      </c>
      <c r="G71" s="17" t="n">
        <v>257</v>
      </c>
      <c r="H71" s="17" t="n">
        <f aca="false">IFERROR(xlookup(B71,liveprices!$a:$a,liveprices!$d:$d),257)</f>
        <v>257</v>
      </c>
      <c r="I71" s="20"/>
      <c r="J71" s="20" t="n">
        <f aca="false">IF(G71=0,"",(H71-G71)/G71)</f>
        <v>0</v>
      </c>
      <c r="K71" s="14" t="s">
        <v>286</v>
      </c>
      <c r="L71" s="22" t="s">
        <v>34</v>
      </c>
      <c r="M71" s="37"/>
      <c r="N71" s="37"/>
      <c r="O71" s="16" t="n">
        <v>46169</v>
      </c>
      <c r="P71" s="37"/>
      <c r="Q71" s="15" t="s">
        <v>352</v>
      </c>
    </row>
    <row r="72" customFormat="false" ht="15" hidden="false" customHeight="false" outlineLevel="0" collapsed="false">
      <c r="A72" s="42" t="s">
        <v>10</v>
      </c>
      <c r="B72" s="6" t="s">
        <v>186</v>
      </c>
      <c r="C72" s="6" t="s">
        <v>187</v>
      </c>
      <c r="D72" s="6" t="s">
        <v>353</v>
      </c>
      <c r="E72" s="6"/>
      <c r="F72" s="9" t="n">
        <v>46169</v>
      </c>
      <c r="G72" s="10" t="n">
        <v>503</v>
      </c>
      <c r="H72" s="10" t="n">
        <f aca="false">IFERROR(xlookup(B72,liveprices!$a:$a,liveprices!$d:$d),503)</f>
        <v>503</v>
      </c>
      <c r="I72" s="13"/>
      <c r="J72" s="13" t="n">
        <f aca="false">IF(G72=0,"",(H72-G72)/G72)</f>
        <v>0</v>
      </c>
      <c r="K72" s="8" t="s">
        <v>306</v>
      </c>
      <c r="L72" s="21" t="s">
        <v>34</v>
      </c>
      <c r="M72" s="37"/>
      <c r="N72" s="37"/>
      <c r="O72" s="9" t="n">
        <v>46169</v>
      </c>
      <c r="P72" s="37"/>
      <c r="Q72" s="6" t="s">
        <v>354</v>
      </c>
    </row>
  </sheetData>
  <autoFilter ref="A1:Q72"/>
  <conditionalFormatting sqref="I2:I72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72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conditionalFormatting sqref="M2:M72">
    <cfRule type="expression" priority="6" aboveAverage="0" equalAverage="0" bottom="0" percent="0" rank="0" text="" dxfId="12">
      <formula>OR($M2="Weakening",$M2="Broken")</formula>
    </cfRule>
    <cfRule type="expression" priority="7" aboveAverage="0" equalAverage="0" bottom="0" percent="0" rank="0" text="" dxfId="13">
      <formula>$M2="Watch"</formula>
    </cfRule>
    <cfRule type="expression" priority="8" aboveAverage="0" equalAverage="0" bottom="0" percent="0" rank="0" text="" dxfId="14">
      <formula>$M2="Strengthening"</formula>
    </cfRule>
  </conditionalFormatting>
  <conditionalFormatting sqref="O2:O72">
    <cfRule type="expression" priority="9" aboveAverage="0" equalAverage="0" bottom="0" percent="0" rank="0" text="" dxfId="12">
      <formula>AND($O2&lt;&gt;"",TODAY()-$O2&gt;90)</formula>
    </cfRule>
  </conditionalFormatting>
  <dataValidations count="2">
    <dataValidation allowBlank="true" errorStyle="stop" operator="between" showDropDown="false" showErrorMessage="false" showInputMessage="false" sqref="M2:M72" type="list">
      <formula1>"Strengthening,Stable,Watch,Weakening,Broken"</formula1>
      <formula2>0</formula2>
    </dataValidation>
    <dataValidation allowBlank="true" errorStyle="stop" operator="between" showDropDown="false" showErrorMessage="false" showInputMessage="false" sqref="N2:N72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3" style="0" width="26"/>
    <col collapsed="false" customWidth="true" hidden="false" outlineLevel="0" max="14" min="14" style="0" width="13"/>
    <col collapsed="false" customWidth="true" hidden="false" outlineLevel="0" max="15" min="15" style="0" width="9"/>
  </cols>
  <sheetData>
    <row r="1" customFormat="false" ht="15" hidden="false" customHeight="false" outlineLevel="0" collapsed="false">
      <c r="A1" s="4" t="s">
        <v>8</v>
      </c>
      <c r="B1" s="4" t="s">
        <v>16</v>
      </c>
      <c r="C1" s="4" t="s">
        <v>17</v>
      </c>
      <c r="D1" s="4" t="s">
        <v>355</v>
      </c>
      <c r="E1" s="4" t="s">
        <v>356</v>
      </c>
      <c r="F1" s="4" t="s">
        <v>105</v>
      </c>
      <c r="G1" s="4" t="s">
        <v>357</v>
      </c>
      <c r="H1" s="4" t="s">
        <v>358</v>
      </c>
      <c r="I1" s="4" t="s">
        <v>359</v>
      </c>
      <c r="J1" s="4" t="s">
        <v>360</v>
      </c>
      <c r="K1" s="4" t="s">
        <v>361</v>
      </c>
      <c r="M1" s="3" t="s">
        <v>362</v>
      </c>
      <c r="N1" s="43" t="n">
        <v>0.1</v>
      </c>
    </row>
    <row r="2" customFormat="false" ht="15" hidden="false" customHeight="false" outlineLevel="0" collapsed="false">
      <c r="A2" s="36" t="s">
        <v>252</v>
      </c>
      <c r="B2" s="6" t="s">
        <v>26</v>
      </c>
      <c r="C2" s="6" t="s">
        <v>27</v>
      </c>
      <c r="D2" s="44" t="n">
        <v>100</v>
      </c>
      <c r="E2" s="45" t="n">
        <v>928.81</v>
      </c>
      <c r="F2" s="10" t="n">
        <f aca="false">IFERROR(xlookup(B2,liveprices!$a:$a,liveprices!$d:$d),1065.8)</f>
        <v>1065.8</v>
      </c>
      <c r="G2" s="27" t="n">
        <f aca="false">D2*E2</f>
        <v>92881</v>
      </c>
      <c r="H2" s="27" t="n">
        <f aca="false">D2*F2</f>
        <v>106580</v>
      </c>
      <c r="I2" s="27" t="n">
        <f aca="false">H2-G2</f>
        <v>13699</v>
      </c>
      <c r="J2" s="46" t="n">
        <f aca="false">IF(G2=0,"",(H2-G2)/G2)</f>
        <v>0.147489798774776</v>
      </c>
      <c r="K2" s="46" t="n">
        <f aca="false">IF($H$43=0,"",H2/$H$43)</f>
        <v>0.0298874820148614</v>
      </c>
      <c r="M2" s="3" t="s">
        <v>363</v>
      </c>
      <c r="N2" s="43" t="n">
        <v>0.25</v>
      </c>
    </row>
    <row r="3" customFormat="false" ht="15" hidden="false" customHeight="false" outlineLevel="0" collapsed="false">
      <c r="A3" s="38" t="s">
        <v>252</v>
      </c>
      <c r="B3" s="15" t="s">
        <v>30</v>
      </c>
      <c r="C3" s="15" t="s">
        <v>31</v>
      </c>
      <c r="D3" s="44"/>
      <c r="E3" s="45"/>
      <c r="F3" s="17" t="n">
        <f aca="false">IFERROR(xlookup(B3,liveprices!$a:$a,liveprices!$d:$d),362)</f>
        <v>362</v>
      </c>
      <c r="G3" s="28" t="n">
        <f aca="false">D3*E3</f>
        <v>0</v>
      </c>
      <c r="H3" s="28" t="n">
        <f aca="false">D3*F3</f>
        <v>0</v>
      </c>
      <c r="I3" s="28" t="n">
        <f aca="false">H3-G3</f>
        <v>0</v>
      </c>
      <c r="J3" s="47" t="str">
        <f aca="false">IF(G3=0,"",(H3-G3)/G3)</f>
        <v/>
      </c>
      <c r="K3" s="47" t="n">
        <f aca="false">IF($H$43=0,"",H3/$H$43)</f>
        <v>0</v>
      </c>
    </row>
    <row r="4" customFormat="false" ht="15" hidden="false" customHeight="false" outlineLevel="0" collapsed="false">
      <c r="A4" s="36" t="s">
        <v>252</v>
      </c>
      <c r="B4" s="6" t="s">
        <v>32</v>
      </c>
      <c r="C4" s="6" t="s">
        <v>33</v>
      </c>
      <c r="D4" s="44" t="n">
        <v>250</v>
      </c>
      <c r="E4" s="45" t="n">
        <v>378.8</v>
      </c>
      <c r="F4" s="10" t="n">
        <f aca="false">IFERROR(xlookup(B4,liveprices!$a:$a,liveprices!$d:$d),376.1)</f>
        <v>376.1</v>
      </c>
      <c r="G4" s="27" t="n">
        <f aca="false">D4*E4</f>
        <v>94700</v>
      </c>
      <c r="H4" s="27" t="n">
        <f aca="false">D4*F4</f>
        <v>94025</v>
      </c>
      <c r="I4" s="27" t="n">
        <f aca="false">H4-G4</f>
        <v>-675</v>
      </c>
      <c r="J4" s="46" t="n">
        <f aca="false">IF(G4=0,"",(H4-G4)/G4)</f>
        <v>-0.00712777191129884</v>
      </c>
      <c r="K4" s="46" t="n">
        <f aca="false">IF($H$43=0,"",H4/$H$43)</f>
        <v>0.0263667714059612</v>
      </c>
      <c r="M4" s="29" t="s">
        <v>364</v>
      </c>
    </row>
    <row r="5" customFormat="false" ht="15" hidden="false" customHeight="false" outlineLevel="0" collapsed="false">
      <c r="A5" s="38" t="s">
        <v>252</v>
      </c>
      <c r="B5" s="15" t="s">
        <v>35</v>
      </c>
      <c r="C5" s="15" t="s">
        <v>36</v>
      </c>
      <c r="D5" s="44"/>
      <c r="E5" s="45"/>
      <c r="F5" s="17" t="n">
        <f aca="false">IFERROR(xlookup(B5,liveprices!$a:$a,liveprices!$d:$d),822)</f>
        <v>822</v>
      </c>
      <c r="G5" s="28" t="n">
        <f aca="false">D5*E5</f>
        <v>0</v>
      </c>
      <c r="H5" s="28" t="n">
        <f aca="false">D5*F5</f>
        <v>0</v>
      </c>
      <c r="I5" s="28" t="n">
        <f aca="false">H5-G5</f>
        <v>0</v>
      </c>
      <c r="J5" s="47" t="str">
        <f aca="false">IF(G5=0,"",(H5-G5)/G5)</f>
        <v/>
      </c>
      <c r="K5" s="47" t="n">
        <f aca="false">IF($H$43=0,"",H5/$H$43)</f>
        <v>0</v>
      </c>
      <c r="M5" s="4" t="s">
        <v>17</v>
      </c>
      <c r="N5" s="4" t="s">
        <v>358</v>
      </c>
      <c r="O5" s="4" t="s">
        <v>365</v>
      </c>
    </row>
    <row r="6" customFormat="false" ht="15" hidden="false" customHeight="false" outlineLevel="0" collapsed="false">
      <c r="A6" s="36" t="s">
        <v>252</v>
      </c>
      <c r="B6" s="6" t="s">
        <v>37</v>
      </c>
      <c r="C6" s="6" t="s">
        <v>38</v>
      </c>
      <c r="D6" s="44" t="n">
        <v>40</v>
      </c>
      <c r="E6" s="45" t="n">
        <v>2749.85</v>
      </c>
      <c r="F6" s="10" t="n">
        <f aca="false">IFERROR(xlookup(B6,liveprices!$a:$a,liveprices!$d:$d),3600)</f>
        <v>3600</v>
      </c>
      <c r="G6" s="27" t="n">
        <f aca="false">D6*E6</f>
        <v>109994</v>
      </c>
      <c r="H6" s="27" t="n">
        <f aca="false">D6*F6</f>
        <v>144000</v>
      </c>
      <c r="I6" s="27" t="n">
        <f aca="false">H6-G6</f>
        <v>34006</v>
      </c>
      <c r="J6" s="46" t="n">
        <f aca="false">IF(G6=0,"",(H6-G6)/G6)</f>
        <v>0.309162317944615</v>
      </c>
      <c r="K6" s="46" t="n">
        <f aca="false">IF($H$43=0,"",H6/$H$43)</f>
        <v>0.0403809102096082</v>
      </c>
      <c r="M6" s="6" t="s">
        <v>27</v>
      </c>
      <c r="N6" s="27" t="n">
        <f aca="false">SUMIF($C$2:$C$42,M6,$H$2:$H$42)</f>
        <v>573005</v>
      </c>
      <c r="O6" s="46" t="n">
        <f aca="false">IF($H$43=0,"",N6/$H$43)</f>
        <v>0.16068377399067</v>
      </c>
    </row>
    <row r="7" customFormat="false" ht="15" hidden="false" customHeight="false" outlineLevel="0" collapsed="false">
      <c r="A7" s="38" t="s">
        <v>252</v>
      </c>
      <c r="B7" s="15" t="s">
        <v>39</v>
      </c>
      <c r="C7" s="15" t="s">
        <v>40</v>
      </c>
      <c r="D7" s="44" t="n">
        <v>60</v>
      </c>
      <c r="E7" s="45" t="n">
        <v>1555.34</v>
      </c>
      <c r="F7" s="17" t="n">
        <f aca="false">IFERROR(xlookup(B7,liveprices!$a:$a,liveprices!$d:$d),1993)</f>
        <v>1993</v>
      </c>
      <c r="G7" s="28" t="n">
        <f aca="false">D7*E7</f>
        <v>93320.4</v>
      </c>
      <c r="H7" s="28" t="n">
        <f aca="false">D7*F7</f>
        <v>119580</v>
      </c>
      <c r="I7" s="28" t="n">
        <f aca="false">H7-G7</f>
        <v>26259.6</v>
      </c>
      <c r="J7" s="47" t="n">
        <f aca="false">IF(G7=0,"",(H7-G7)/G7)</f>
        <v>0.281391850013502</v>
      </c>
      <c r="K7" s="47" t="n">
        <f aca="false">IF($H$43=0,"",H7/$H$43)</f>
        <v>0.0335329808532288</v>
      </c>
      <c r="M7" s="15" t="s">
        <v>31</v>
      </c>
      <c r="N7" s="28" t="n">
        <f aca="false">SUMIF($C$2:$C$42,M7,$H$2:$H$42)</f>
        <v>0</v>
      </c>
      <c r="O7" s="47" t="n">
        <f aca="false">IF($H$43=0,"",N7/$H$43)</f>
        <v>0</v>
      </c>
    </row>
    <row r="8" customFormat="false" ht="15" hidden="false" customHeight="false" outlineLevel="0" collapsed="false">
      <c r="A8" s="36" t="s">
        <v>252</v>
      </c>
      <c r="B8" s="6" t="s">
        <v>41</v>
      </c>
      <c r="C8" s="6" t="s">
        <v>42</v>
      </c>
      <c r="D8" s="44"/>
      <c r="E8" s="45"/>
      <c r="F8" s="10" t="n">
        <f aca="false">IFERROR(xlookup(B8,liveprices!$a:$a,liveprices!$d:$d),1799)</f>
        <v>1799</v>
      </c>
      <c r="G8" s="27" t="n">
        <f aca="false">D8*E8</f>
        <v>0</v>
      </c>
      <c r="H8" s="27" t="n">
        <f aca="false">D8*F8</f>
        <v>0</v>
      </c>
      <c r="I8" s="27" t="n">
        <f aca="false">H8-G8</f>
        <v>0</v>
      </c>
      <c r="J8" s="46" t="str">
        <f aca="false">IF(G8=0,"",(H8-G8)/G8)</f>
        <v/>
      </c>
      <c r="K8" s="46" t="n">
        <f aca="false">IF($H$43=0,"",H8/$H$43)</f>
        <v>0</v>
      </c>
      <c r="M8" s="6" t="s">
        <v>33</v>
      </c>
      <c r="N8" s="27" t="n">
        <f aca="false">SUMIF($C$2:$C$42,M8,$H$2:$H$42)</f>
        <v>94025</v>
      </c>
      <c r="O8" s="46" t="n">
        <f aca="false">IF($H$43=0,"",N8/$H$43)</f>
        <v>0.0263667714059612</v>
      </c>
    </row>
    <row r="9" customFormat="false" ht="15" hidden="false" customHeight="false" outlineLevel="0" collapsed="false">
      <c r="A9" s="38" t="s">
        <v>252</v>
      </c>
      <c r="B9" s="15" t="s">
        <v>43</v>
      </c>
      <c r="C9" s="15" t="s">
        <v>40</v>
      </c>
      <c r="D9" s="44" t="n">
        <v>5</v>
      </c>
      <c r="E9" s="45" t="n">
        <v>20545.08</v>
      </c>
      <c r="F9" s="17" t="n">
        <f aca="false">IFERROR(xlookup(B9,liveprices!$a:$a,liveprices!$d:$d),17833)</f>
        <v>17833</v>
      </c>
      <c r="G9" s="28" t="n">
        <f aca="false">D9*E9</f>
        <v>102725.4</v>
      </c>
      <c r="H9" s="28" t="n">
        <f aca="false">D9*F9</f>
        <v>89165</v>
      </c>
      <c r="I9" s="28" t="n">
        <f aca="false">H9-G9</f>
        <v>-13560.4</v>
      </c>
      <c r="J9" s="47" t="n">
        <f aca="false">IF(G9=0,"",(H9-G9)/G9)</f>
        <v>-0.132006300291846</v>
      </c>
      <c r="K9" s="47" t="n">
        <f aca="false">IF($H$43=0,"",H9/$H$43)</f>
        <v>0.0250039156863869</v>
      </c>
      <c r="M9" s="15" t="s">
        <v>36</v>
      </c>
      <c r="N9" s="28" t="n">
        <f aca="false">SUMIF($C$2:$C$42,M9,$H$2:$H$42)</f>
        <v>437050</v>
      </c>
      <c r="O9" s="47" t="n">
        <f aca="false">IF($H$43=0,"",N9/$H$43)</f>
        <v>0.122558866716036</v>
      </c>
    </row>
    <row r="10" customFormat="false" ht="15" hidden="false" customHeight="false" outlineLevel="0" collapsed="false">
      <c r="A10" s="36" t="s">
        <v>252</v>
      </c>
      <c r="B10" s="6" t="s">
        <v>44</v>
      </c>
      <c r="C10" s="6" t="s">
        <v>45</v>
      </c>
      <c r="D10" s="44"/>
      <c r="E10" s="45"/>
      <c r="F10" s="10" t="n">
        <f aca="false">IFERROR(xlookup(B10,liveprices!$a:$a,liveprices!$d:$d),163.2)</f>
        <v>163.2</v>
      </c>
      <c r="G10" s="27" t="n">
        <f aca="false">D10*E10</f>
        <v>0</v>
      </c>
      <c r="H10" s="27" t="n">
        <f aca="false">D10*F10</f>
        <v>0</v>
      </c>
      <c r="I10" s="27" t="n">
        <f aca="false">H10-G10</f>
        <v>0</v>
      </c>
      <c r="J10" s="46" t="str">
        <f aca="false">IF(G10=0,"",(H10-G10)/G10)</f>
        <v/>
      </c>
      <c r="K10" s="46" t="n">
        <f aca="false">IF($H$43=0,"",H10/$H$43)</f>
        <v>0</v>
      </c>
      <c r="M10" s="6" t="s">
        <v>38</v>
      </c>
      <c r="N10" s="27" t="n">
        <f aca="false">SUMIF($C$2:$C$42,M10,$H$2:$H$42)</f>
        <v>144000</v>
      </c>
      <c r="O10" s="46" t="n">
        <f aca="false">IF($H$43=0,"",N10/$H$43)</f>
        <v>0.0403809102096082</v>
      </c>
    </row>
    <row r="11" customFormat="false" ht="15" hidden="false" customHeight="false" outlineLevel="0" collapsed="false">
      <c r="A11" s="38" t="s">
        <v>252</v>
      </c>
      <c r="B11" s="15" t="s">
        <v>46</v>
      </c>
      <c r="C11" s="15" t="s">
        <v>47</v>
      </c>
      <c r="D11" s="44"/>
      <c r="E11" s="45"/>
      <c r="F11" s="17" t="n">
        <f aca="false">IFERROR(xlookup(B11,liveprices!$a:$a,liveprices!$d:$d),1589)</f>
        <v>1589</v>
      </c>
      <c r="G11" s="28" t="n">
        <f aca="false">D11*E11</f>
        <v>0</v>
      </c>
      <c r="H11" s="28" t="n">
        <f aca="false">D11*F11</f>
        <v>0</v>
      </c>
      <c r="I11" s="28" t="n">
        <f aca="false">H11-G11</f>
        <v>0</v>
      </c>
      <c r="J11" s="47" t="str">
        <f aca="false">IF(G11=0,"",(H11-G11)/G11)</f>
        <v/>
      </c>
      <c r="K11" s="47" t="n">
        <f aca="false">IF($H$43=0,"",H11/$H$43)</f>
        <v>0</v>
      </c>
      <c r="M11" s="15" t="s">
        <v>40</v>
      </c>
      <c r="N11" s="28" t="n">
        <f aca="false">SUMIF($C$2:$C$42,M11,$H$2:$H$42)</f>
        <v>208745</v>
      </c>
      <c r="O11" s="47" t="n">
        <f aca="false">IF($H$43=0,"",N11/$H$43)</f>
        <v>0.0585368965396157</v>
      </c>
    </row>
    <row r="12" customFormat="false" ht="15" hidden="false" customHeight="false" outlineLevel="0" collapsed="false">
      <c r="A12" s="36" t="s">
        <v>252</v>
      </c>
      <c r="B12" s="6" t="s">
        <v>48</v>
      </c>
      <c r="C12" s="6" t="s">
        <v>49</v>
      </c>
      <c r="D12" s="44"/>
      <c r="E12" s="45"/>
      <c r="F12" s="10" t="n">
        <f aca="false">IFERROR(xlookup(B12,liveprices!$a:$a,liveprices!$d:$d),336)</f>
        <v>336</v>
      </c>
      <c r="G12" s="27" t="n">
        <f aca="false">D12*E12</f>
        <v>0</v>
      </c>
      <c r="H12" s="27" t="n">
        <f aca="false">D12*F12</f>
        <v>0</v>
      </c>
      <c r="I12" s="27" t="n">
        <f aca="false">H12-G12</f>
        <v>0</v>
      </c>
      <c r="J12" s="46" t="str">
        <f aca="false">IF(G12=0,"",(H12-G12)/G12)</f>
        <v/>
      </c>
      <c r="K12" s="46" t="n">
        <f aca="false">IF($H$43=0,"",H12/$H$43)</f>
        <v>0</v>
      </c>
      <c r="M12" s="6" t="s">
        <v>42</v>
      </c>
      <c r="N12" s="27" t="n">
        <f aca="false">SUMIF($C$2:$C$42,M12,$H$2:$H$42)</f>
        <v>0</v>
      </c>
      <c r="O12" s="46" t="n">
        <f aca="false">IF($H$43=0,"",N12/$H$43)</f>
        <v>0</v>
      </c>
    </row>
    <row r="13" customFormat="false" ht="15" hidden="false" customHeight="false" outlineLevel="0" collapsed="false">
      <c r="A13" s="38" t="s">
        <v>252</v>
      </c>
      <c r="B13" s="15" t="s">
        <v>50</v>
      </c>
      <c r="C13" s="15" t="s">
        <v>51</v>
      </c>
      <c r="D13" s="44"/>
      <c r="E13" s="45"/>
      <c r="F13" s="17" t="n">
        <f aca="false">IFERROR(xlookup(B13,liveprices!$a:$a,liveprices!$d:$d),151)</f>
        <v>151</v>
      </c>
      <c r="G13" s="28" t="n">
        <f aca="false">D13*E13</f>
        <v>0</v>
      </c>
      <c r="H13" s="28" t="n">
        <f aca="false">D13*F13</f>
        <v>0</v>
      </c>
      <c r="I13" s="28" t="n">
        <f aca="false">H13-G13</f>
        <v>0</v>
      </c>
      <c r="J13" s="47" t="str">
        <f aca="false">IF(G13=0,"",(H13-G13)/G13)</f>
        <v/>
      </c>
      <c r="K13" s="47" t="n">
        <f aca="false">IF($H$43=0,"",H13/$H$43)</f>
        <v>0</v>
      </c>
      <c r="M13" s="15" t="s">
        <v>45</v>
      </c>
      <c r="N13" s="28" t="n">
        <f aca="false">SUMIF($C$2:$C$42,M13,$H$2:$H$42)</f>
        <v>0</v>
      </c>
      <c r="O13" s="47" t="n">
        <f aca="false">IF($H$43=0,"",N13/$H$43)</f>
        <v>0</v>
      </c>
    </row>
    <row r="14" customFormat="false" ht="15" hidden="false" customHeight="false" outlineLevel="0" collapsed="false">
      <c r="A14" s="36" t="s">
        <v>252</v>
      </c>
      <c r="B14" s="6" t="s">
        <v>52</v>
      </c>
      <c r="C14" s="6" t="s">
        <v>53</v>
      </c>
      <c r="D14" s="44" t="n">
        <v>450</v>
      </c>
      <c r="E14" s="45" t="n">
        <v>216.56</v>
      </c>
      <c r="F14" s="10" t="n">
        <f aca="false">IFERROR(xlookup(B14,liveprices!$a:$a,liveprices!$d:$d),240)</f>
        <v>240</v>
      </c>
      <c r="G14" s="27" t="n">
        <f aca="false">D14*E14</f>
        <v>97452</v>
      </c>
      <c r="H14" s="27" t="n">
        <f aca="false">D14*F14</f>
        <v>108000</v>
      </c>
      <c r="I14" s="27" t="n">
        <f aca="false">H14-G14</f>
        <v>10548</v>
      </c>
      <c r="J14" s="46" t="n">
        <f aca="false">IF(G14=0,"",(H14-G14)/G14)</f>
        <v>0.108237901736239</v>
      </c>
      <c r="K14" s="46" t="n">
        <f aca="false">IF($H$43=0,"",H14/$H$43)</f>
        <v>0.0302856826572061</v>
      </c>
      <c r="M14" s="6" t="s">
        <v>47</v>
      </c>
      <c r="N14" s="27" t="n">
        <f aca="false">SUMIF($C$2:$C$42,M14,$H$2:$H$42)</f>
        <v>0</v>
      </c>
      <c r="O14" s="46" t="n">
        <f aca="false">IF($H$43=0,"",N14/$H$43)</f>
        <v>0</v>
      </c>
    </row>
    <row r="15" customFormat="false" ht="15" hidden="false" customHeight="false" outlineLevel="0" collapsed="false">
      <c r="A15" s="38" t="s">
        <v>252</v>
      </c>
      <c r="B15" s="15" t="s">
        <v>54</v>
      </c>
      <c r="C15" s="15" t="s">
        <v>55</v>
      </c>
      <c r="D15" s="44"/>
      <c r="E15" s="45"/>
      <c r="F15" s="17" t="n">
        <f aca="false">IFERROR(xlookup(B15,liveprices!$a:$a,liveprices!$d:$d),106)</f>
        <v>106</v>
      </c>
      <c r="G15" s="28" t="n">
        <f aca="false">D15*E15</f>
        <v>0</v>
      </c>
      <c r="H15" s="28" t="n">
        <f aca="false">D15*F15</f>
        <v>0</v>
      </c>
      <c r="I15" s="28" t="n">
        <f aca="false">H15-G15</f>
        <v>0</v>
      </c>
      <c r="J15" s="47" t="str">
        <f aca="false">IF(G15=0,"",(H15-G15)/G15)</f>
        <v/>
      </c>
      <c r="K15" s="47" t="n">
        <f aca="false">IF($H$43=0,"",H15/$H$43)</f>
        <v>0</v>
      </c>
      <c r="M15" s="15" t="s">
        <v>49</v>
      </c>
      <c r="N15" s="28" t="n">
        <f aca="false">SUMIF($C$2:$C$42,M15,$H$2:$H$42)</f>
        <v>0</v>
      </c>
      <c r="O15" s="47" t="n">
        <f aca="false">IF($H$43=0,"",N15/$H$43)</f>
        <v>0</v>
      </c>
    </row>
    <row r="16" customFormat="false" ht="15" hidden="false" customHeight="false" outlineLevel="0" collapsed="false">
      <c r="A16" s="36" t="s">
        <v>252</v>
      </c>
      <c r="B16" s="6" t="s">
        <v>56</v>
      </c>
      <c r="C16" s="6" t="s">
        <v>27</v>
      </c>
      <c r="D16" s="44" t="n">
        <v>75</v>
      </c>
      <c r="E16" s="45" t="n">
        <v>1246.75</v>
      </c>
      <c r="F16" s="10" t="n">
        <f aca="false">IFERROR(xlookup(B16,liveprices!$a:$a,liveprices!$d:$d),2722.8)</f>
        <v>2722.8</v>
      </c>
      <c r="G16" s="27" t="n">
        <f aca="false">D16*E16</f>
        <v>93506.25</v>
      </c>
      <c r="H16" s="27" t="n">
        <f aca="false">D16*F16</f>
        <v>204210</v>
      </c>
      <c r="I16" s="27" t="n">
        <f aca="false">H16-G16</f>
        <v>110703.75</v>
      </c>
      <c r="J16" s="46" t="n">
        <f aca="false">IF(G16=0,"",(H16-G16)/G16)</f>
        <v>1.18391818728695</v>
      </c>
      <c r="K16" s="46" t="n">
        <f aca="false">IF($H$43=0,"",H16/$H$43)</f>
        <v>0.0572651782910006</v>
      </c>
      <c r="M16" s="6" t="s">
        <v>51</v>
      </c>
      <c r="N16" s="27" t="n">
        <f aca="false">SUMIF($C$2:$C$42,M16,$H$2:$H$42)</f>
        <v>0</v>
      </c>
      <c r="O16" s="46" t="n">
        <f aca="false">IF($H$43=0,"",N16/$H$43)</f>
        <v>0</v>
      </c>
    </row>
    <row r="17" customFormat="false" ht="15" hidden="false" customHeight="false" outlineLevel="0" collapsed="false">
      <c r="A17" s="38" t="s">
        <v>252</v>
      </c>
      <c r="B17" s="15" t="s">
        <v>57</v>
      </c>
      <c r="C17" s="15" t="s">
        <v>58</v>
      </c>
      <c r="D17" s="44" t="n">
        <v>1000</v>
      </c>
      <c r="E17" s="45" t="n">
        <v>98.48</v>
      </c>
      <c r="F17" s="17" t="n">
        <f aca="false">IFERROR(xlookup(B17,liveprices!$a:$a,liveprices!$d:$d),114.62)</f>
        <v>114.62</v>
      </c>
      <c r="G17" s="28" t="n">
        <f aca="false">D17*E17</f>
        <v>98480</v>
      </c>
      <c r="H17" s="28" t="n">
        <f aca="false">D17*F17</f>
        <v>114620</v>
      </c>
      <c r="I17" s="28" t="n">
        <f aca="false">H17-G17</f>
        <v>16140</v>
      </c>
      <c r="J17" s="47" t="n">
        <f aca="false">IF(G17=0,"",(H17-G17)/G17)</f>
        <v>0.163891145410236</v>
      </c>
      <c r="K17" s="47" t="n">
        <f aca="false">IF($H$43=0,"",H17/$H$43)</f>
        <v>0.0321420828348978</v>
      </c>
      <c r="M17" s="15" t="s">
        <v>53</v>
      </c>
      <c r="N17" s="28" t="n">
        <f aca="false">SUMIF($C$2:$C$42,M17,$H$2:$H$42)</f>
        <v>108000</v>
      </c>
      <c r="O17" s="47" t="n">
        <f aca="false">IF($H$43=0,"",N17/$H$43)</f>
        <v>0.0302856826572061</v>
      </c>
    </row>
    <row r="18" customFormat="false" ht="15" hidden="false" customHeight="false" outlineLevel="0" collapsed="false">
      <c r="A18" s="36" t="s">
        <v>252</v>
      </c>
      <c r="B18" s="6" t="s">
        <v>59</v>
      </c>
      <c r="C18" s="6" t="s">
        <v>60</v>
      </c>
      <c r="D18" s="44" t="n">
        <v>1100</v>
      </c>
      <c r="E18" s="45" t="n">
        <v>98.58</v>
      </c>
      <c r="F18" s="10" t="n">
        <f aca="false">IFERROR(xlookup(B18,liveprices!$a:$a,liveprices!$d:$d),104.57)</f>
        <v>104.57</v>
      </c>
      <c r="G18" s="27" t="n">
        <f aca="false">D18*E18</f>
        <v>108438</v>
      </c>
      <c r="H18" s="27" t="n">
        <f aca="false">D18*F18</f>
        <v>115027</v>
      </c>
      <c r="I18" s="27" t="n">
        <f aca="false">H18-G18</f>
        <v>6588.99999999999</v>
      </c>
      <c r="J18" s="46" t="n">
        <f aca="false">IF(G18=0,"",(H18-G18)/G18)</f>
        <v>0.0607628322174882</v>
      </c>
      <c r="K18" s="46" t="n">
        <f aca="false">IF($H$43=0,"",H18/$H$43)</f>
        <v>0.0322562149908375</v>
      </c>
      <c r="M18" s="6" t="s">
        <v>55</v>
      </c>
      <c r="N18" s="27" t="n">
        <f aca="false">SUMIF($C$2:$C$42,M18,$H$2:$H$42)</f>
        <v>0</v>
      </c>
      <c r="O18" s="46" t="n">
        <f aca="false">IF($H$43=0,"",N18/$H$43)</f>
        <v>0</v>
      </c>
    </row>
    <row r="19" customFormat="false" ht="15" hidden="false" customHeight="false" outlineLevel="0" collapsed="false">
      <c r="A19" s="38" t="s">
        <v>252</v>
      </c>
      <c r="B19" s="15" t="s">
        <v>61</v>
      </c>
      <c r="C19" s="15" t="s">
        <v>62</v>
      </c>
      <c r="D19" s="44" t="n">
        <v>100</v>
      </c>
      <c r="E19" s="45" t="n">
        <v>746.12</v>
      </c>
      <c r="F19" s="17" t="n">
        <f aca="false">IFERROR(xlookup(B19,liveprices!$a:$a,liveprices!$d:$d),771.55)</f>
        <v>771.55</v>
      </c>
      <c r="G19" s="28" t="n">
        <f aca="false">D19*E19</f>
        <v>74612</v>
      </c>
      <c r="H19" s="28" t="n">
        <f aca="false">D19*F19</f>
        <v>77155</v>
      </c>
      <c r="I19" s="28" t="n">
        <f aca="false">H19-G19</f>
        <v>2543</v>
      </c>
      <c r="J19" s="47" t="n">
        <f aca="false">IF(G19=0,"",(H19-G19)/G19)</f>
        <v>0.0340829893314748</v>
      </c>
      <c r="K19" s="47" t="n">
        <f aca="false">IF($H$43=0,"",H19/$H$43)</f>
        <v>0.0216360356057105</v>
      </c>
      <c r="M19" s="15" t="s">
        <v>58</v>
      </c>
      <c r="N19" s="28" t="n">
        <f aca="false">SUMIF($C$2:$C$42,M19,$H$2:$H$42)</f>
        <v>438203.96</v>
      </c>
      <c r="O19" s="47" t="n">
        <f aca="false">IF($H$43=0,"",N19/$H$43)</f>
        <v>0.122882463626769</v>
      </c>
    </row>
    <row r="20" customFormat="false" ht="15" hidden="false" customHeight="false" outlineLevel="0" collapsed="false">
      <c r="A20" s="36" t="s">
        <v>252</v>
      </c>
      <c r="B20" s="6" t="s">
        <v>63</v>
      </c>
      <c r="C20" s="6" t="s">
        <v>64</v>
      </c>
      <c r="D20" s="44" t="n">
        <v>150</v>
      </c>
      <c r="E20" s="45" t="n">
        <v>400.74</v>
      </c>
      <c r="F20" s="10" t="n">
        <f aca="false">IFERROR(xlookup(B20,liveprices!$a:$a,liveprices!$d:$d),495.95)</f>
        <v>495.95</v>
      </c>
      <c r="G20" s="27" t="n">
        <f aca="false">D20*E20</f>
        <v>60111</v>
      </c>
      <c r="H20" s="27" t="n">
        <f aca="false">D20*F20</f>
        <v>74392.5</v>
      </c>
      <c r="I20" s="27" t="n">
        <f aca="false">H20-G20</f>
        <v>14281.5</v>
      </c>
      <c r="J20" s="46" t="n">
        <f aca="false">IF(G20=0,"",(H20-G20)/G20)</f>
        <v>0.23758546688626</v>
      </c>
      <c r="K20" s="46" t="n">
        <f aca="false">IF($H$43=0,"",H20/$H$43)</f>
        <v>0.0208613671025575</v>
      </c>
      <c r="M20" s="6" t="s">
        <v>60</v>
      </c>
      <c r="N20" s="27" t="n">
        <f aca="false">SUMIF($C$2:$C$42,M20,$H$2:$H$42)</f>
        <v>115027</v>
      </c>
      <c r="O20" s="46" t="n">
        <f aca="false">IF($H$43=0,"",N20/$H$43)</f>
        <v>0.0322562149908375</v>
      </c>
    </row>
    <row r="21" customFormat="false" ht="15" hidden="false" customHeight="false" outlineLevel="0" collapsed="false">
      <c r="A21" s="38" t="s">
        <v>252</v>
      </c>
      <c r="B21" s="15" t="s">
        <v>65</v>
      </c>
      <c r="C21" s="15" t="s">
        <v>58</v>
      </c>
      <c r="D21" s="44" t="n">
        <v>100</v>
      </c>
      <c r="E21" s="45" t="n">
        <v>638.9</v>
      </c>
      <c r="F21" s="17" t="n">
        <f aca="false">IFERROR(xlookup(B21,liveprices!$a:$a,liveprices!$d:$d),842.65)</f>
        <v>842.65</v>
      </c>
      <c r="G21" s="28" t="n">
        <f aca="false">D21*E21</f>
        <v>63890</v>
      </c>
      <c r="H21" s="28" t="n">
        <f aca="false">D21*F21</f>
        <v>84265</v>
      </c>
      <c r="I21" s="28" t="n">
        <f aca="false">H21-G21</f>
        <v>20375</v>
      </c>
      <c r="J21" s="47" t="n">
        <f aca="false">IF(G21=0,"",(H21-G21)/G21)</f>
        <v>0.318907497260917</v>
      </c>
      <c r="K21" s="47" t="n">
        <f aca="false">IF($H$43=0,"",H21/$H$43)</f>
        <v>0.0236298430473099</v>
      </c>
      <c r="M21" s="15" t="s">
        <v>62</v>
      </c>
      <c r="N21" s="28" t="n">
        <f aca="false">SUMIF($C$2:$C$42,M21,$H$2:$H$42)</f>
        <v>234180</v>
      </c>
      <c r="O21" s="47" t="n">
        <f aca="false">IF($H$43=0,"",N21/$H$43)</f>
        <v>0.0656694552283753</v>
      </c>
    </row>
    <row r="22" customFormat="false" ht="15" hidden="false" customHeight="false" outlineLevel="0" collapsed="false">
      <c r="A22" s="36" t="s">
        <v>252</v>
      </c>
      <c r="B22" s="6" t="s">
        <v>66</v>
      </c>
      <c r="C22" s="6" t="s">
        <v>36</v>
      </c>
      <c r="D22" s="44" t="n">
        <v>75</v>
      </c>
      <c r="E22" s="45" t="n">
        <v>727.91</v>
      </c>
      <c r="F22" s="10" t="n">
        <f aca="false">IFERROR(xlookup(B22,liveprices!$a:$a,liveprices!$d:$d),1560)</f>
        <v>1560</v>
      </c>
      <c r="G22" s="27" t="n">
        <f aca="false">D22*E22</f>
        <v>54593.25</v>
      </c>
      <c r="H22" s="27" t="n">
        <f aca="false">D22*F22</f>
        <v>117000</v>
      </c>
      <c r="I22" s="27" t="n">
        <f aca="false">H22-G22</f>
        <v>62406.75</v>
      </c>
      <c r="J22" s="46" t="n">
        <f aca="false">IF(G22=0,"",(H22-G22)/G22)</f>
        <v>1.14312208926928</v>
      </c>
      <c r="K22" s="46" t="n">
        <f aca="false">IF($H$43=0,"",H22/$H$43)</f>
        <v>0.0328094895453066</v>
      </c>
      <c r="M22" s="6" t="s">
        <v>64</v>
      </c>
      <c r="N22" s="27" t="n">
        <f aca="false">SUMIF($C$2:$C$42,M22,$H$2:$H$42)</f>
        <v>284594.5</v>
      </c>
      <c r="O22" s="46" t="n">
        <f aca="false">IF($H$43=0,"",N22/$H$43)</f>
        <v>0.0798068399350579</v>
      </c>
    </row>
    <row r="23" customFormat="false" ht="15" hidden="false" customHeight="false" outlineLevel="0" collapsed="false">
      <c r="A23" s="38" t="s">
        <v>252</v>
      </c>
      <c r="B23" s="15" t="s">
        <v>67</v>
      </c>
      <c r="C23" s="15" t="s">
        <v>68</v>
      </c>
      <c r="D23" s="44" t="n">
        <v>110</v>
      </c>
      <c r="E23" s="45" t="n">
        <v>535.75</v>
      </c>
      <c r="F23" s="17" t="n">
        <f aca="false">IFERROR(xlookup(B23,liveprices!$a:$a,liveprices!$d:$d),1073)</f>
        <v>1073</v>
      </c>
      <c r="G23" s="28" t="n">
        <f aca="false">D23*E23</f>
        <v>58932.5</v>
      </c>
      <c r="H23" s="28" t="n">
        <f aca="false">D23*F23</f>
        <v>118030</v>
      </c>
      <c r="I23" s="28" t="n">
        <f aca="false">H23-G23</f>
        <v>59097.5</v>
      </c>
      <c r="J23" s="47" t="n">
        <f aca="false">IF(G23=0,"",(H23-G23)/G23)</f>
        <v>1.00279981334578</v>
      </c>
      <c r="K23" s="47" t="n">
        <f aca="false">IF($H$43=0,"",H23/$H$43)</f>
        <v>0.0330983252225004</v>
      </c>
      <c r="M23" s="15" t="s">
        <v>68</v>
      </c>
      <c r="N23" s="28" t="n">
        <f aca="false">SUMIF($C$2:$C$42,M23,$H$2:$H$42)</f>
        <v>118030</v>
      </c>
      <c r="O23" s="47" t="n">
        <f aca="false">IF($H$43=0,"",N23/$H$43)</f>
        <v>0.0330983252225004</v>
      </c>
    </row>
    <row r="24" customFormat="false" ht="15" hidden="false" customHeight="false" outlineLevel="0" collapsed="false">
      <c r="A24" s="36" t="s">
        <v>252</v>
      </c>
      <c r="B24" s="6" t="s">
        <v>69</v>
      </c>
      <c r="C24" s="6" t="s">
        <v>58</v>
      </c>
      <c r="D24" s="44" t="n">
        <v>1579</v>
      </c>
      <c r="E24" s="45" t="n">
        <v>60.15</v>
      </c>
      <c r="F24" s="10" t="n">
        <f aca="false">IFERROR(xlookup(B24,liveprices!$a:$a,liveprices!$d:$d),60.24)</f>
        <v>60.24</v>
      </c>
      <c r="G24" s="27" t="n">
        <f aca="false">D24*E24</f>
        <v>94976.85</v>
      </c>
      <c r="H24" s="27" t="n">
        <f aca="false">D24*F24</f>
        <v>95118.96</v>
      </c>
      <c r="I24" s="27" t="n">
        <f aca="false">H24-G24</f>
        <v>142.110000000015</v>
      </c>
      <c r="J24" s="46" t="n">
        <f aca="false">IF(G24=0,"",(H24-G24)/G24)</f>
        <v>0.00149625935162111</v>
      </c>
      <c r="K24" s="46" t="n">
        <f aca="false">IF($H$43=0,"",H24/$H$43)</f>
        <v>0.0266735429374397</v>
      </c>
      <c r="M24" s="6" t="s">
        <v>72</v>
      </c>
      <c r="N24" s="27" t="n">
        <f aca="false">SUMIF($C$2:$C$42,M24,$H$2:$H$42)</f>
        <v>0</v>
      </c>
      <c r="O24" s="46" t="n">
        <f aca="false">IF($H$43=0,"",N24/$H$43)</f>
        <v>0</v>
      </c>
    </row>
    <row r="25" customFormat="false" ht="15" hidden="false" customHeight="false" outlineLevel="0" collapsed="false">
      <c r="A25" s="38" t="s">
        <v>252</v>
      </c>
      <c r="B25" s="15" t="s">
        <v>70</v>
      </c>
      <c r="C25" s="15" t="s">
        <v>64</v>
      </c>
      <c r="D25" s="44" t="n">
        <v>80</v>
      </c>
      <c r="E25" s="45" t="n">
        <v>695.65</v>
      </c>
      <c r="F25" s="17" t="n">
        <f aca="false">IFERROR(xlookup(B25,liveprices!$a:$a,liveprices!$d:$d),931.25)</f>
        <v>931.25</v>
      </c>
      <c r="G25" s="28" t="n">
        <f aca="false">D25*E25</f>
        <v>55652</v>
      </c>
      <c r="H25" s="28" t="n">
        <f aca="false">D25*F25</f>
        <v>74500</v>
      </c>
      <c r="I25" s="28" t="n">
        <f aca="false">H25-G25</f>
        <v>18848</v>
      </c>
      <c r="J25" s="47" t="n">
        <f aca="false">IF(G25=0,"",(H25-G25)/G25)</f>
        <v>0.338676058362682</v>
      </c>
      <c r="K25" s="47" t="n">
        <f aca="false">IF($H$43=0,"",H25/$H$43)</f>
        <v>0.0208915125737209</v>
      </c>
      <c r="M25" s="15" t="s">
        <v>74</v>
      </c>
      <c r="N25" s="28" t="n">
        <f aca="false">SUMIF($C$2:$C$42,M25,$H$2:$H$42)</f>
        <v>148041</v>
      </c>
      <c r="O25" s="47" t="n">
        <f aca="false">IF($H$43=0,"",N25/$H$43)</f>
        <v>0.0415140995023653</v>
      </c>
    </row>
    <row r="26" customFormat="false" ht="15" hidden="false" customHeight="false" outlineLevel="0" collapsed="false">
      <c r="A26" s="36" t="s">
        <v>252</v>
      </c>
      <c r="B26" s="6" t="s">
        <v>71</v>
      </c>
      <c r="C26" s="6" t="s">
        <v>72</v>
      </c>
      <c r="D26" s="44"/>
      <c r="E26" s="45"/>
      <c r="F26" s="10" t="n">
        <f aca="false">IFERROR(xlookup(B26,liveprices!$a:$a,liveprices!$d:$d),481)</f>
        <v>481</v>
      </c>
      <c r="G26" s="27" t="n">
        <f aca="false">D26*E26</f>
        <v>0</v>
      </c>
      <c r="H26" s="27" t="n">
        <f aca="false">D26*F26</f>
        <v>0</v>
      </c>
      <c r="I26" s="27" t="n">
        <f aca="false">H26-G26</f>
        <v>0</v>
      </c>
      <c r="J26" s="46" t="str">
        <f aca="false">IF(G26=0,"",(H26-G26)/G26)</f>
        <v/>
      </c>
      <c r="K26" s="46" t="n">
        <f aca="false">IF($H$43=0,"",H26/$H$43)</f>
        <v>0</v>
      </c>
      <c r="M26" s="6" t="s">
        <v>80</v>
      </c>
      <c r="N26" s="27" t="n">
        <f aca="false">SUMIF($C$2:$C$42,M26,$H$2:$H$42)</f>
        <v>0</v>
      </c>
      <c r="O26" s="46" t="n">
        <f aca="false">IF($H$43=0,"",N26/$H$43)</f>
        <v>0</v>
      </c>
    </row>
    <row r="27" customFormat="false" ht="15" hidden="false" customHeight="false" outlineLevel="0" collapsed="false">
      <c r="A27" s="38" t="s">
        <v>252</v>
      </c>
      <c r="B27" s="15" t="s">
        <v>73</v>
      </c>
      <c r="C27" s="15" t="s">
        <v>74</v>
      </c>
      <c r="D27" s="44" t="n">
        <v>270</v>
      </c>
      <c r="E27" s="45" t="n">
        <v>541.8</v>
      </c>
      <c r="F27" s="17" t="n">
        <f aca="false">IFERROR(xlookup(B27,liveprices!$a:$a,liveprices!$d:$d),548.3)</f>
        <v>548.3</v>
      </c>
      <c r="G27" s="28" t="n">
        <f aca="false">D27*E27</f>
        <v>146286</v>
      </c>
      <c r="H27" s="28" t="n">
        <f aca="false">D27*F27</f>
        <v>148041</v>
      </c>
      <c r="I27" s="28" t="n">
        <f aca="false">H27-G27</f>
        <v>1755</v>
      </c>
      <c r="J27" s="47" t="n">
        <f aca="false">IF(G27=0,"",(H27-G27)/G27)</f>
        <v>0.0119970468807678</v>
      </c>
      <c r="K27" s="47" t="n">
        <f aca="false">IF($H$43=0,"",H27/$H$43)</f>
        <v>0.0415140995023653</v>
      </c>
      <c r="M27" s="15" t="s">
        <v>83</v>
      </c>
      <c r="N27" s="28" t="n">
        <f aca="false">SUMIF($C$2:$C$42,M27,$H$2:$H$42)</f>
        <v>112800</v>
      </c>
      <c r="O27" s="47" t="n">
        <f aca="false">IF($H$43=0,"",N27/$H$43)</f>
        <v>0.0316317129975264</v>
      </c>
    </row>
    <row r="28" customFormat="false" ht="15" hidden="false" customHeight="false" outlineLevel="0" collapsed="false">
      <c r="A28" s="36" t="s">
        <v>252</v>
      </c>
      <c r="B28" s="6" t="s">
        <v>75</v>
      </c>
      <c r="C28" s="6" t="s">
        <v>60</v>
      </c>
      <c r="D28" s="44"/>
      <c r="E28" s="45"/>
      <c r="F28" s="10" t="n">
        <f aca="false">IFERROR(xlookup(B28,liveprices!$a:$a,liveprices!$d:$d),530)</f>
        <v>530</v>
      </c>
      <c r="G28" s="27" t="n">
        <f aca="false">D28*E28</f>
        <v>0</v>
      </c>
      <c r="H28" s="27" t="n">
        <f aca="false">D28*F28</f>
        <v>0</v>
      </c>
      <c r="I28" s="27" t="n">
        <f aca="false">H28-G28</f>
        <v>0</v>
      </c>
      <c r="J28" s="46" t="str">
        <f aca="false">IF(G28=0,"",(H28-G28)/G28)</f>
        <v/>
      </c>
      <c r="K28" s="46" t="n">
        <f aca="false">IF($H$43=0,"",H28/$H$43)</f>
        <v>0</v>
      </c>
      <c r="M28" s="6" t="s">
        <v>86</v>
      </c>
      <c r="N28" s="27" t="n">
        <f aca="false">SUMIF($C$2:$C$42,M28,$H$2:$H$42)</f>
        <v>134440</v>
      </c>
      <c r="O28" s="46" t="n">
        <f aca="false">IF($H$43=0,"",N28/$H$43)</f>
        <v>0.0377000664484703</v>
      </c>
    </row>
    <row r="29" customFormat="false" ht="15" hidden="false" customHeight="false" outlineLevel="0" collapsed="false">
      <c r="A29" s="38" t="s">
        <v>252</v>
      </c>
      <c r="B29" s="15" t="s">
        <v>76</v>
      </c>
      <c r="C29" s="15" t="s">
        <v>62</v>
      </c>
      <c r="D29" s="44" t="n">
        <v>275</v>
      </c>
      <c r="E29" s="45" t="n">
        <v>334.38</v>
      </c>
      <c r="F29" s="17" t="n">
        <f aca="false">IFERROR(xlookup(B29,liveprices!$a:$a,liveprices!$d:$d),571)</f>
        <v>571</v>
      </c>
      <c r="G29" s="28" t="n">
        <f aca="false">D29*E29</f>
        <v>91954.5</v>
      </c>
      <c r="H29" s="28" t="n">
        <f aca="false">D29*F29</f>
        <v>157025</v>
      </c>
      <c r="I29" s="28" t="n">
        <f aca="false">H29-G29</f>
        <v>65070.5</v>
      </c>
      <c r="J29" s="47" t="n">
        <f aca="false">IF(G29=0,"",(H29-G29)/G29)</f>
        <v>0.707638016627789</v>
      </c>
      <c r="K29" s="47" t="n">
        <f aca="false">IF($H$43=0,"",H29/$H$43)</f>
        <v>0.0440334196226647</v>
      </c>
      <c r="M29" s="15" t="s">
        <v>88</v>
      </c>
      <c r="N29" s="28" t="n">
        <f aca="false">SUMIF($C$2:$C$42,M29,$H$2:$H$42)</f>
        <v>174300</v>
      </c>
      <c r="O29" s="47" t="n">
        <f aca="false">IF($H$43=0,"",N29/$H$43)</f>
        <v>0.0488777267328799</v>
      </c>
    </row>
    <row r="30" customFormat="false" ht="15" hidden="false" customHeight="false" outlineLevel="0" collapsed="false">
      <c r="A30" s="39" t="s">
        <v>284</v>
      </c>
      <c r="B30" s="6" t="s">
        <v>79</v>
      </c>
      <c r="C30" s="6" t="s">
        <v>80</v>
      </c>
      <c r="D30" s="44"/>
      <c r="E30" s="45"/>
      <c r="F30" s="10" t="n">
        <f aca="false">IFERROR(xlookup(B30,liveprices!$a:$a,liveprices!$d:$d),86)</f>
        <v>86</v>
      </c>
      <c r="G30" s="27" t="n">
        <f aca="false">D30*E30</f>
        <v>0</v>
      </c>
      <c r="H30" s="27" t="n">
        <f aca="false">D30*F30</f>
        <v>0</v>
      </c>
      <c r="I30" s="27" t="n">
        <f aca="false">H30-G30</f>
        <v>0</v>
      </c>
      <c r="J30" s="46" t="str">
        <f aca="false">IF(G30=0,"",(H30-G30)/G30)</f>
        <v/>
      </c>
      <c r="K30" s="46" t="n">
        <f aca="false">IF($H$43=0,"",H30/$H$43)</f>
        <v>0</v>
      </c>
      <c r="M30" s="6" t="s">
        <v>91</v>
      </c>
      <c r="N30" s="27" t="n">
        <f aca="false">SUMIF($C$2:$C$42,M30,$H$2:$H$42)</f>
        <v>0</v>
      </c>
      <c r="O30" s="46" t="n">
        <f aca="false">IF($H$43=0,"",N30/$H$43)</f>
        <v>0</v>
      </c>
    </row>
    <row r="31" customFormat="false" ht="15" hidden="false" customHeight="false" outlineLevel="0" collapsed="false">
      <c r="A31" s="40" t="s">
        <v>284</v>
      </c>
      <c r="B31" s="15" t="s">
        <v>81</v>
      </c>
      <c r="C31" s="15" t="s">
        <v>33</v>
      </c>
      <c r="D31" s="44"/>
      <c r="E31" s="45"/>
      <c r="F31" s="17" t="n">
        <f aca="false">IFERROR(xlookup(B31,liveprices!$a:$a,liveprices!$d:$d),863)</f>
        <v>863</v>
      </c>
      <c r="G31" s="28" t="n">
        <f aca="false">D31*E31</f>
        <v>0</v>
      </c>
      <c r="H31" s="28" t="n">
        <f aca="false">D31*F31</f>
        <v>0</v>
      </c>
      <c r="I31" s="28" t="n">
        <f aca="false">H31-G31</f>
        <v>0</v>
      </c>
      <c r="J31" s="47" t="str">
        <f aca="false">IF(G31=0,"",(H31-G31)/G31)</f>
        <v/>
      </c>
      <c r="K31" s="47" t="n">
        <f aca="false">IF($H$43=0,"",H31/$H$43)</f>
        <v>0</v>
      </c>
      <c r="M31" s="15" t="s">
        <v>96</v>
      </c>
      <c r="N31" s="28" t="n">
        <f aca="false">SUMIF($C$2:$C$42,M31,$H$2:$H$42)</f>
        <v>241600</v>
      </c>
      <c r="O31" s="47" t="n">
        <f aca="false">IF($H$43=0,"",N31/$H$43)</f>
        <v>0.0677501937961204</v>
      </c>
    </row>
    <row r="32" customFormat="false" ht="15" hidden="false" customHeight="false" outlineLevel="0" collapsed="false">
      <c r="A32" s="39" t="s">
        <v>284</v>
      </c>
      <c r="B32" s="6" t="s">
        <v>82</v>
      </c>
      <c r="C32" s="6" t="s">
        <v>83</v>
      </c>
      <c r="D32" s="44" t="n">
        <v>600</v>
      </c>
      <c r="E32" s="45" t="n">
        <v>147.26</v>
      </c>
      <c r="F32" s="10" t="n">
        <f aca="false">IFERROR(xlookup(B32,liveprices!$a:$a,liveprices!$d:$d),188)</f>
        <v>188</v>
      </c>
      <c r="G32" s="27" t="n">
        <f aca="false">D32*E32</f>
        <v>88356</v>
      </c>
      <c r="H32" s="27" t="n">
        <f aca="false">D32*F32</f>
        <v>112800</v>
      </c>
      <c r="I32" s="27" t="n">
        <f aca="false">H32-G32</f>
        <v>24444</v>
      </c>
      <c r="J32" s="46" t="n">
        <f aca="false">IF(G32=0,"",(H32-G32)/G32)</f>
        <v>0.276653537960071</v>
      </c>
      <c r="K32" s="46" t="n">
        <f aca="false">IF($H$43=0,"",H32/$H$43)</f>
        <v>0.0316317129975264</v>
      </c>
    </row>
    <row r="33" customFormat="false" ht="15" hidden="false" customHeight="false" outlineLevel="0" collapsed="false">
      <c r="A33" s="40" t="s">
        <v>284</v>
      </c>
      <c r="B33" s="15" t="s">
        <v>84</v>
      </c>
      <c r="C33" s="15" t="s">
        <v>36</v>
      </c>
      <c r="D33" s="44" t="n">
        <v>1000</v>
      </c>
      <c r="E33" s="45" t="n">
        <v>259.98</v>
      </c>
      <c r="F33" s="17" t="n">
        <f aca="false">IFERROR(xlookup(B33,liveprices!$a:$a,liveprices!$d:$d),320.05)</f>
        <v>320.05</v>
      </c>
      <c r="G33" s="28" t="n">
        <f aca="false">D33*E33</f>
        <v>259980</v>
      </c>
      <c r="H33" s="28" t="n">
        <f aca="false">D33*F33</f>
        <v>320050</v>
      </c>
      <c r="I33" s="28" t="n">
        <f aca="false">H33-G33</f>
        <v>60070</v>
      </c>
      <c r="J33" s="47" t="n">
        <f aca="false">IF(G33=0,"",(H33-G33)/G33)</f>
        <v>0.231056235095007</v>
      </c>
      <c r="K33" s="47" t="n">
        <f aca="false">IF($H$43=0,"",H33/$H$43)</f>
        <v>0.0897493771707298</v>
      </c>
    </row>
    <row r="34" customFormat="false" ht="15" hidden="false" customHeight="false" outlineLevel="0" collapsed="false">
      <c r="A34" s="39" t="s">
        <v>284</v>
      </c>
      <c r="B34" s="6" t="s">
        <v>85</v>
      </c>
      <c r="C34" s="6" t="s">
        <v>86</v>
      </c>
      <c r="D34" s="44" t="n">
        <v>800</v>
      </c>
      <c r="E34" s="45" t="n">
        <v>127.38</v>
      </c>
      <c r="F34" s="10" t="n">
        <f aca="false">IFERROR(xlookup(B34,liveprices!$a:$a,liveprices!$d:$d),168.05)</f>
        <v>168.05</v>
      </c>
      <c r="G34" s="27" t="n">
        <f aca="false">D34*E34</f>
        <v>101904</v>
      </c>
      <c r="H34" s="27" t="n">
        <f aca="false">D34*F34</f>
        <v>134440</v>
      </c>
      <c r="I34" s="27" t="n">
        <f aca="false">H34-G34</f>
        <v>32536</v>
      </c>
      <c r="J34" s="46" t="n">
        <f aca="false">IF(G34=0,"",(H34-G34)/G34)</f>
        <v>0.319280891819752</v>
      </c>
      <c r="K34" s="46" t="n">
        <f aca="false">IF($H$43=0,"",H34/$H$43)</f>
        <v>0.0377000664484703</v>
      </c>
    </row>
    <row r="35" customFormat="false" ht="15" hidden="false" customHeight="false" outlineLevel="0" collapsed="false">
      <c r="A35" s="40" t="s">
        <v>284</v>
      </c>
      <c r="B35" s="15" t="s">
        <v>87</v>
      </c>
      <c r="C35" s="15" t="s">
        <v>88</v>
      </c>
      <c r="D35" s="44" t="n">
        <v>300</v>
      </c>
      <c r="E35" s="45" t="n">
        <v>519.64</v>
      </c>
      <c r="F35" s="17" t="n">
        <f aca="false">IFERROR(xlookup(B35,liveprices!$a:$a,liveprices!$d:$d),581)</f>
        <v>581</v>
      </c>
      <c r="G35" s="28" t="n">
        <f aca="false">D35*E35</f>
        <v>155892</v>
      </c>
      <c r="H35" s="28" t="n">
        <f aca="false">D35*F35</f>
        <v>174300</v>
      </c>
      <c r="I35" s="28" t="n">
        <f aca="false">H35-G35</f>
        <v>18408</v>
      </c>
      <c r="J35" s="47" t="n">
        <f aca="false">IF(G35=0,"",(H35-G35)/G35)</f>
        <v>0.118081748903087</v>
      </c>
      <c r="K35" s="47" t="n">
        <f aca="false">IF($H$43=0,"",H35/$H$43)</f>
        <v>0.0488777267328799</v>
      </c>
    </row>
    <row r="36" customFormat="false" ht="15" hidden="false" customHeight="false" outlineLevel="0" collapsed="false">
      <c r="A36" s="39" t="s">
        <v>284</v>
      </c>
      <c r="B36" s="6" t="s">
        <v>89</v>
      </c>
      <c r="C36" s="6" t="s">
        <v>64</v>
      </c>
      <c r="D36" s="44" t="n">
        <v>360</v>
      </c>
      <c r="E36" s="45" t="n">
        <v>336.46</v>
      </c>
      <c r="F36" s="10" t="n">
        <f aca="false">IFERROR(xlookup(B36,liveprices!$a:$a,liveprices!$d:$d),376.95)</f>
        <v>376.95</v>
      </c>
      <c r="G36" s="27" t="n">
        <f aca="false">D36*E36</f>
        <v>121125.6</v>
      </c>
      <c r="H36" s="27" t="n">
        <f aca="false">D36*F36</f>
        <v>135702</v>
      </c>
      <c r="I36" s="27" t="n">
        <f aca="false">H36-G36</f>
        <v>14576.4</v>
      </c>
      <c r="J36" s="46" t="n">
        <f aca="false">IF(G36=0,"",(H36-G36)/G36)</f>
        <v>0.120341199548238</v>
      </c>
      <c r="K36" s="46" t="n">
        <f aca="false">IF($H$43=0,"",H36/$H$43)</f>
        <v>0.0380539602587795</v>
      </c>
    </row>
    <row r="37" customFormat="false" ht="15" hidden="false" customHeight="false" outlineLevel="0" collapsed="false">
      <c r="A37" s="40" t="s">
        <v>284</v>
      </c>
      <c r="B37" s="15" t="s">
        <v>90</v>
      </c>
      <c r="C37" s="15" t="s">
        <v>91</v>
      </c>
      <c r="D37" s="44"/>
      <c r="E37" s="45"/>
      <c r="F37" s="17" t="n">
        <f aca="false">IFERROR(xlookup(B37,liveprices!$a:$a,liveprices!$d:$d),770)</f>
        <v>770</v>
      </c>
      <c r="G37" s="28" t="n">
        <f aca="false">D37*E37</f>
        <v>0</v>
      </c>
      <c r="H37" s="28" t="n">
        <f aca="false">D37*F37</f>
        <v>0</v>
      </c>
      <c r="I37" s="28" t="n">
        <f aca="false">H37-G37</f>
        <v>0</v>
      </c>
      <c r="J37" s="47" t="str">
        <f aca="false">IF(G37=0,"",(H37-G37)/G37)</f>
        <v/>
      </c>
      <c r="K37" s="47" t="n">
        <f aca="false">IF($H$43=0,"",H37/$H$43)</f>
        <v>0</v>
      </c>
    </row>
    <row r="38" customFormat="false" ht="15" hidden="false" customHeight="false" outlineLevel="0" collapsed="false">
      <c r="A38" s="39" t="s">
        <v>284</v>
      </c>
      <c r="B38" s="6" t="s">
        <v>92</v>
      </c>
      <c r="C38" s="6" t="s">
        <v>58</v>
      </c>
      <c r="D38" s="44" t="n">
        <v>400</v>
      </c>
      <c r="E38" s="45" t="n">
        <v>335.46</v>
      </c>
      <c r="F38" s="10" t="n">
        <f aca="false">IFERROR(xlookup(B38,liveprices!$a:$a,liveprices!$d:$d),360.5)</f>
        <v>360.5</v>
      </c>
      <c r="G38" s="27" t="n">
        <f aca="false">D38*E38</f>
        <v>134184</v>
      </c>
      <c r="H38" s="27" t="n">
        <f aca="false">D38*F38</f>
        <v>144200</v>
      </c>
      <c r="I38" s="27" t="n">
        <f aca="false">H38-G38</f>
        <v>10016</v>
      </c>
      <c r="J38" s="46" t="n">
        <f aca="false">IF(G38=0,"",(H38-G38)/G38)</f>
        <v>0.0746437727299827</v>
      </c>
      <c r="K38" s="46" t="n">
        <f aca="false">IF($H$43=0,"",H38/$H$43)</f>
        <v>0.0404369948071215</v>
      </c>
    </row>
    <row r="39" customFormat="false" ht="15" hidden="false" customHeight="false" outlineLevel="0" collapsed="false">
      <c r="A39" s="40" t="s">
        <v>284</v>
      </c>
      <c r="B39" s="15" t="s">
        <v>93</v>
      </c>
      <c r="C39" s="15" t="s">
        <v>60</v>
      </c>
      <c r="D39" s="44"/>
      <c r="E39" s="45"/>
      <c r="F39" s="17" t="n">
        <f aca="false">IFERROR(xlookup(B39,liveprices!$a:$a,liveprices!$d:$d),57)</f>
        <v>57</v>
      </c>
      <c r="G39" s="28" t="n">
        <f aca="false">D39*E39</f>
        <v>0</v>
      </c>
      <c r="H39" s="28" t="n">
        <f aca="false">D39*F39</f>
        <v>0</v>
      </c>
      <c r="I39" s="28" t="n">
        <f aca="false">H39-G39</f>
        <v>0</v>
      </c>
      <c r="J39" s="47" t="str">
        <f aca="false">IF(G39=0,"",(H39-G39)/G39)</f>
        <v/>
      </c>
      <c r="K39" s="47" t="n">
        <f aca="false">IF($H$43=0,"",H39/$H$43)</f>
        <v>0</v>
      </c>
    </row>
    <row r="40" customFormat="false" ht="15" hidden="false" customHeight="false" outlineLevel="0" collapsed="false">
      <c r="A40" s="39" t="s">
        <v>284</v>
      </c>
      <c r="B40" s="6" t="s">
        <v>94</v>
      </c>
      <c r="C40" s="6" t="s">
        <v>27</v>
      </c>
      <c r="D40" s="44" t="n">
        <v>300</v>
      </c>
      <c r="E40" s="45" t="n">
        <v>635.83</v>
      </c>
      <c r="F40" s="10" t="n">
        <f aca="false">IFERROR(xlookup(B40,liveprices!$a:$a,liveprices!$d:$d),874.05)</f>
        <v>874.05</v>
      </c>
      <c r="G40" s="27" t="n">
        <f aca="false">D40*E40</f>
        <v>190749</v>
      </c>
      <c r="H40" s="27" t="n">
        <f aca="false">D40*F40</f>
        <v>262215</v>
      </c>
      <c r="I40" s="27" t="n">
        <f aca="false">H40-G40</f>
        <v>71466</v>
      </c>
      <c r="J40" s="46" t="n">
        <f aca="false">IF(G40=0,"",(H40-G40)/G40)</f>
        <v>0.374659893367724</v>
      </c>
      <c r="K40" s="46" t="n">
        <f aca="false">IF($H$43=0,"",H40/$H$43)</f>
        <v>0.0735311136848084</v>
      </c>
    </row>
    <row r="41" customFormat="false" ht="15" hidden="false" customHeight="false" outlineLevel="0" collapsed="false">
      <c r="A41" s="40" t="s">
        <v>284</v>
      </c>
      <c r="B41" s="15" t="s">
        <v>95</v>
      </c>
      <c r="C41" s="15" t="s">
        <v>96</v>
      </c>
      <c r="D41" s="44" t="n">
        <v>1000</v>
      </c>
      <c r="E41" s="45" t="n">
        <v>95.14</v>
      </c>
      <c r="F41" s="17" t="n">
        <f aca="false">IFERROR(xlookup(B41,liveprices!$a:$a,liveprices!$d:$d),100)</f>
        <v>100</v>
      </c>
      <c r="G41" s="28" t="n">
        <f aca="false">D41*E41</f>
        <v>95140</v>
      </c>
      <c r="H41" s="28" t="n">
        <f aca="false">D41*F41</f>
        <v>100000</v>
      </c>
      <c r="I41" s="28" t="n">
        <f aca="false">H41-G41</f>
        <v>4860</v>
      </c>
      <c r="J41" s="47" t="n">
        <f aca="false">IF(G41=0,"",(H41-G41)/G41)</f>
        <v>0.0510826150935464</v>
      </c>
      <c r="K41" s="47" t="n">
        <f aca="false">IF($H$43=0,"",H41/$H$43)</f>
        <v>0.0280422987566723</v>
      </c>
    </row>
    <row r="42" customFormat="false" ht="15" hidden="false" customHeight="false" outlineLevel="0" collapsed="false">
      <c r="A42" s="39" t="s">
        <v>284</v>
      </c>
      <c r="B42" s="6" t="s">
        <v>97</v>
      </c>
      <c r="C42" s="6" t="s">
        <v>96</v>
      </c>
      <c r="D42" s="44" t="n">
        <v>800</v>
      </c>
      <c r="E42" s="45" t="n">
        <v>184.68</v>
      </c>
      <c r="F42" s="10" t="n">
        <f aca="false">IFERROR(xlookup(B42,liveprices!$a:$a,liveprices!$d:$d),177)</f>
        <v>177</v>
      </c>
      <c r="G42" s="27" t="n">
        <f aca="false">D42*E42</f>
        <v>147744</v>
      </c>
      <c r="H42" s="27" t="n">
        <f aca="false">D42*F42</f>
        <v>141600</v>
      </c>
      <c r="I42" s="27" t="n">
        <f aca="false">H42-G42</f>
        <v>-6144</v>
      </c>
      <c r="J42" s="46" t="n">
        <f aca="false">IF(G42=0,"",(H42-G42)/G42)</f>
        <v>-0.041585445094217</v>
      </c>
      <c r="K42" s="46" t="n">
        <f aca="false">IF($H$43=0,"",H42/$H$43)</f>
        <v>0.039707895039448</v>
      </c>
    </row>
    <row r="43" customFormat="false" ht="15" hidden="false" customHeight="false" outlineLevel="0" collapsed="false">
      <c r="C43" s="48" t="s">
        <v>366</v>
      </c>
      <c r="G43" s="49" t="n">
        <f aca="false">SUM(G2:G42)</f>
        <v>2887579.75</v>
      </c>
      <c r="H43" s="49" t="n">
        <f aca="false">SUM(H2:H42)</f>
        <v>3566041.46</v>
      </c>
      <c r="I43" s="49" t="n">
        <f aca="false">SUM(I2:I42)</f>
        <v>678461.71</v>
      </c>
      <c r="J43" s="50" t="n">
        <f aca="false">IF(G43=0,"",(H43-G43)/G43)</f>
        <v>0.234958605039393</v>
      </c>
      <c r="K43" s="50" t="n">
        <f aca="false">IF(H43=0,"",SUM(K2:K42))</f>
        <v>1</v>
      </c>
    </row>
    <row r="45" customFormat="false" ht="15" hidden="false" customHeight="false" outlineLevel="0" collapsed="false">
      <c r="A45" s="2" t="s">
        <v>367</v>
      </c>
    </row>
  </sheetData>
  <conditionalFormatting sqref="I2:J42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K2:K42">
    <cfRule type="expression" priority="4" aboveAverage="0" equalAverage="0" bottom="0" percent="0" rank="0" text="" dxfId="12">
      <formula>AND($K2&lt;&gt;"",$K2&gt;$N$1)</formula>
    </cfRule>
  </conditionalFormatting>
  <conditionalFormatting sqref="O6:O31">
    <cfRule type="expression" priority="5" aboveAverage="0" equalAverage="0" bottom="0" percent="0" rank="0" text="" dxfId="12">
      <formula>AND(O6&lt;&gt;"",O6&gt;$N$2)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2026-06-03T03:52:29Z</dcterms:created>
  <dc:creator>openpyxl</dc:creator>
  <dc:description/>
  <dc:language>en-US</dc:language>
  <cp:lastModifiedBy/>
  <dcterms:modified xsi:type="dcterms:W3CDTF">2026-06-03T03:52:29Z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