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Emerging Titans" sheetId="2" state="visible" r:id="rId4"/>
    <sheet name="Tiny Titans" sheetId="3" state="visible" r:id="rId5"/>
    <sheet name="Watchlist (Combined)" sheetId="4" state="visible" r:id="rId6"/>
  </sheets>
  <definedNames>
    <definedName function="false" hidden="true" localSheetId="1" name="_xlnm._FilterDatabase" vbProcedure="false">'Emerging Titans'!$A$1:$K$29</definedName>
    <definedName function="false" hidden="true" localSheetId="2" name="_xlnm._FilterDatabase" vbProcedure="false">'Tiny Titans'!$A$1:$K$14</definedName>
    <definedName function="false" hidden="true" localSheetId="3" name="_xlnm._FilterDatabase" vbProcedure="false">'Watchlist (Combined)'!$A$1:$O$42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<sst xmlns="http://schemas.openxmlformats.org/spreadsheetml/2006/main" count="435" uniqueCount="160">
  <si>
    <t xml:space="preserve">ValueEducator - Emerging Titans &amp; Tiny Titans</t>
  </si>
  <si>
    <t xml:space="preserve">Watchlist capture - Source: valueeducator.com - Returns as reported 2 Jun 2026 - Captured 2 Jun 2026</t>
  </si>
  <si>
    <t xml:space="preserve">Live CMP source:</t>
  </si>
  <si>
    <t xml:space="preserve">Power Query 'LivePrices' table (Data &gt; Refresh All). CMP cells fall back to the 2-Jun snapshot until the query is set up.</t>
  </si>
  <si>
    <t xml:space="preserve">Portfolio</t>
  </si>
  <si>
    <t xml:space="preserve">Emerging Titans</t>
  </si>
  <si>
    <t xml:space="preserve">Tiny Titans</t>
  </si>
  <si>
    <t xml:space="preserve">Stocks listed</t>
  </si>
  <si>
    <t xml:space="preserve">Focus</t>
  </si>
  <si>
    <t xml:space="preserve">High-potential multi-cap (small/mid)</t>
  </si>
  <si>
    <t xml:space="preserve">Under-researched SME, early stage</t>
  </si>
  <si>
    <t xml:space="preserve">Mix / Avg mcap</t>
  </si>
  <si>
    <t xml:space="preserve">Small 62% - Mid 30% - Cash 8%</t>
  </si>
  <si>
    <t xml:space="preserve">Avg mkt cap ~Rs 300 Cr</t>
  </si>
  <si>
    <t xml:space="preserve">Top sectors</t>
  </si>
  <si>
    <t xml:space="preserve">Infra, Power, Engineering, Railway</t>
  </si>
  <si>
    <t xml:space="preserve">Power, Defence, Engineering</t>
  </si>
  <si>
    <t xml:space="preserve">Last rebalance / rec</t>
  </si>
  <si>
    <t xml:space="preserve">27 May 2026</t>
  </si>
  <si>
    <t xml:space="preserve">12 Jan 2026</t>
  </si>
  <si>
    <t xml:space="preserve">Source page</t>
  </si>
  <si>
    <t xml:space="preserve">/portfolio-emerging-titan</t>
  </si>
  <si>
    <t xml:space="preserve">/portfolio-tiny-titan</t>
  </si>
  <si>
    <t xml:space="preserve">Notes: Emerging Titans lists 28 names (26 active + Techno Electric and Oswal Pumps marked Sell on 27 May 2026). Tiny Titans lists 13 names (site header states 12). 'Q3 2026 Model Portfolio Update' is an update marker, not a holding, and is excluded. 'Return % (reported)' is the source figure on 2 Jun 2026. CMP is driven live by the Power Query LivePrices table; 'Live P/L %' recomputes from it.</t>
  </si>
  <si>
    <t xml:space="preserve">DISCLAIMER: Reproduced from a third-party research service (ValueEducator) for personal tracking. NOT investment advice and not a buy/sell recommendation by the author. Verify every figure against primary sources before acting.</t>
  </si>
  <si>
    <t xml:space="preserve">No.</t>
  </si>
  <si>
    <t xml:space="preserve">Stock Name</t>
  </si>
  <si>
    <t xml:space="preserve">Sector</t>
  </si>
  <si>
    <t xml:space="preserve">Date of Rec</t>
  </si>
  <si>
    <t xml:space="preserve">Price at Rec (Rs)</t>
  </si>
  <si>
    <t xml:space="preserve">Allocation</t>
  </si>
  <si>
    <t xml:space="preserve">Action</t>
  </si>
  <si>
    <t xml:space="preserve">CMP (Rs)</t>
  </si>
  <si>
    <t xml:space="preserve">Return % (reported)</t>
  </si>
  <si>
    <t xml:space="preserve">Live P/L %</t>
  </si>
  <si>
    <t xml:space="preserve">Notes</t>
  </si>
  <si>
    <t xml:space="preserve">Techno Electric &amp; Engineering Ltd</t>
  </si>
  <si>
    <t xml:space="preserve">Power</t>
  </si>
  <si>
    <t xml:space="preserve">Sell</t>
  </si>
  <si>
    <t xml:space="preserve">Marked Sell 27 May 2026 (exit); source CMP shown = entry price</t>
  </si>
  <si>
    <t xml:space="preserve">Oswal Pumps Ltd</t>
  </si>
  <si>
    <t xml:space="preserve">Capital Goods</t>
  </si>
  <si>
    <t xml:space="preserve">PNGS Reva Diamond Jewellery Limited</t>
  </si>
  <si>
    <t xml:space="preserve">Jewellery</t>
  </si>
  <si>
    <t xml:space="preserve">Buy</t>
  </si>
  <si>
    <t xml:space="preserve">HBL Engineering</t>
  </si>
  <si>
    <t xml:space="preserve">Railway</t>
  </si>
  <si>
    <t xml:space="preserve">Centum Electronics Ltd</t>
  </si>
  <si>
    <t xml:space="preserve">Defence &amp; Electronics</t>
  </si>
  <si>
    <t xml:space="preserve">SJS</t>
  </si>
  <si>
    <t xml:space="preserve">Auto</t>
  </si>
  <si>
    <t xml:space="preserve">Narayana Hrudayalaya Ltd</t>
  </si>
  <si>
    <t xml:space="preserve">Hospitals</t>
  </si>
  <si>
    <t xml:space="preserve">Force Motors</t>
  </si>
  <si>
    <t xml:space="preserve">Samhi Hotels</t>
  </si>
  <si>
    <t xml:space="preserve">Hotels</t>
  </si>
  <si>
    <t xml:space="preserve">Gravita India Limited</t>
  </si>
  <si>
    <t xml:space="preserve">Recycling</t>
  </si>
  <si>
    <t xml:space="preserve">Timex Group</t>
  </si>
  <si>
    <t xml:space="preserve">Watches</t>
  </si>
  <si>
    <t xml:space="preserve">Federal bank financial services</t>
  </si>
  <si>
    <t xml:space="preserve">NBFC</t>
  </si>
  <si>
    <t xml:space="preserve">Praveg Ltd</t>
  </si>
  <si>
    <t xml:space="preserve">Hospitality</t>
  </si>
  <si>
    <t xml:space="preserve">Navkar Corporation Ltd</t>
  </si>
  <si>
    <t xml:space="preserve">Logistics Services</t>
  </si>
  <si>
    <t xml:space="preserve">Indo Tech Transformers Ltd</t>
  </si>
  <si>
    <t xml:space="preserve">Arkade Developers Ltd</t>
  </si>
  <si>
    <t xml:space="preserve">Infrastructure &amp; Real Estate</t>
  </si>
  <si>
    <t xml:space="preserve">Sambhv Steel Tubes Ltd</t>
  </si>
  <si>
    <t xml:space="preserve">Ferrous &amp; Non Ferrous Metals</t>
  </si>
  <si>
    <t xml:space="preserve">India Shelter Finance</t>
  </si>
  <si>
    <t xml:space="preserve">Finance</t>
  </si>
  <si>
    <t xml:space="preserve">Kilburn Engineering</t>
  </si>
  <si>
    <t xml:space="preserve">Engineering</t>
  </si>
  <si>
    <t xml:space="preserve">PSP Projects</t>
  </si>
  <si>
    <t xml:space="preserve">Frontier Spring</t>
  </si>
  <si>
    <t xml:space="preserve">CCL Products (India) Ltd</t>
  </si>
  <si>
    <t xml:space="preserve">FMCG</t>
  </si>
  <si>
    <t xml:space="preserve">Tara Chand Infra Solution</t>
  </si>
  <si>
    <t xml:space="preserve">Mac Power CNC Machines Ltd</t>
  </si>
  <si>
    <t xml:space="preserve">Paushak Ltd</t>
  </si>
  <si>
    <t xml:space="preserve">Chemical</t>
  </si>
  <si>
    <t xml:space="preserve">P N Gadgil Jewellers Ltd</t>
  </si>
  <si>
    <t xml:space="preserve">Diamond, Gems and Jewelry</t>
  </si>
  <si>
    <t xml:space="preserve">Shivalik Bi Metals Ltd</t>
  </si>
  <si>
    <t xml:space="preserve">S G Finserve Ltd</t>
  </si>
  <si>
    <t xml:space="preserve">Total allocation listed -&gt;</t>
  </si>
  <si>
    <t xml:space="preserve">Rating</t>
  </si>
  <si>
    <t xml:space="preserve">Maiden Forging</t>
  </si>
  <si>
    <t xml:space="preserve">Forging</t>
  </si>
  <si>
    <t xml:space="preserve">PNGS Gargi Fashion Jewellery Ltd</t>
  </si>
  <si>
    <t xml:space="preserve">Patil Automation Ltd</t>
  </si>
  <si>
    <t xml:space="preserve">Automation</t>
  </si>
  <si>
    <t xml:space="preserve">Airfloa Rail Technology Ltd</t>
  </si>
  <si>
    <t xml:space="preserve">Sat Kartar Shopping Ltd</t>
  </si>
  <si>
    <t xml:space="preserve">Health Care</t>
  </si>
  <si>
    <t xml:space="preserve">Z-Tech</t>
  </si>
  <si>
    <t xml:space="preserve">Waste management and recycling</t>
  </si>
  <si>
    <t xml:space="preserve">Sealmatic India Ltd</t>
  </si>
  <si>
    <t xml:space="preserve">CFF Fluid Control Ltd</t>
  </si>
  <si>
    <t xml:space="preserve">Defence</t>
  </si>
  <si>
    <t xml:space="preserve">Sathlokhar Synergys E&amp;C</t>
  </si>
  <si>
    <t xml:space="preserve">Aluwind Infra-Tech Ltd</t>
  </si>
  <si>
    <t xml:space="preserve">Danish Power Ltd</t>
  </si>
  <si>
    <t xml:space="preserve">Wise Travel India Ltd</t>
  </si>
  <si>
    <t xml:space="preserve">Business Support</t>
  </si>
  <si>
    <t xml:space="preserve">Infollion Research Services Ltd</t>
  </si>
  <si>
    <t xml:space="preserve">NSE Symbol</t>
  </si>
  <si>
    <t xml:space="preserve">BSE Code</t>
  </si>
  <si>
    <t xml:space="preserve">Price at Rec</t>
  </si>
  <si>
    <t xml:space="preserve">CMP</t>
  </si>
  <si>
    <t xml:space="preserve">Alloc / Rating</t>
  </si>
  <si>
    <t xml:space="preserve">Thesis Status</t>
  </si>
  <si>
    <t xml:space="preserve">Conviction</t>
  </si>
  <si>
    <t xml:space="preserve">TECHNOE</t>
  </si>
  <si>
    <t xml:space="preserve">5%</t>
  </si>
  <si>
    <t xml:space="preserve">OSWALPUMPS</t>
  </si>
  <si>
    <t xml:space="preserve">3%</t>
  </si>
  <si>
    <t xml:space="preserve">PNGSREVA</t>
  </si>
  <si>
    <t xml:space="preserve">HBLENGINE</t>
  </si>
  <si>
    <t xml:space="preserve">CENTUM</t>
  </si>
  <si>
    <t xml:space="preserve">4%</t>
  </si>
  <si>
    <t xml:space="preserve">NH</t>
  </si>
  <si>
    <t xml:space="preserve">FORCEMOT</t>
  </si>
  <si>
    <t xml:space="preserve">SAMHI</t>
  </si>
  <si>
    <t xml:space="preserve">2%</t>
  </si>
  <si>
    <t xml:space="preserve">GRAVITA</t>
  </si>
  <si>
    <t xml:space="preserve">TIMEX</t>
  </si>
  <si>
    <t xml:space="preserve">FEDFINA</t>
  </si>
  <si>
    <t xml:space="preserve">PRAVEG</t>
  </si>
  <si>
    <t xml:space="preserve">NAVKARCORP</t>
  </si>
  <si>
    <t xml:space="preserve">INDOTECH</t>
  </si>
  <si>
    <t xml:space="preserve">ARKADE</t>
  </si>
  <si>
    <t xml:space="preserve">SAMBHV</t>
  </si>
  <si>
    <t xml:space="preserve">INDIASHLTR</t>
  </si>
  <si>
    <t xml:space="preserve">522101</t>
  </si>
  <si>
    <t xml:space="preserve">PSPPROJECT</t>
  </si>
  <si>
    <t xml:space="preserve">FRONTSP</t>
  </si>
  <si>
    <t xml:space="preserve">CCL</t>
  </si>
  <si>
    <t xml:space="preserve">TARACHAND</t>
  </si>
  <si>
    <t xml:space="preserve">MACPOWER</t>
  </si>
  <si>
    <t xml:space="preserve">532742</t>
  </si>
  <si>
    <t xml:space="preserve">PNGJL</t>
  </si>
  <si>
    <t xml:space="preserve">SBCL</t>
  </si>
  <si>
    <t xml:space="preserve">SGFIN</t>
  </si>
  <si>
    <t xml:space="preserve">543874</t>
  </si>
  <si>
    <t xml:space="preserve">3/5</t>
  </si>
  <si>
    <t xml:space="preserve">543709</t>
  </si>
  <si>
    <t xml:space="preserve">4/5</t>
  </si>
  <si>
    <t xml:space="preserve">AIRFLOA</t>
  </si>
  <si>
    <t xml:space="preserve">SATKARTAR</t>
  </si>
  <si>
    <t xml:space="preserve">ZTECH</t>
  </si>
  <si>
    <t xml:space="preserve">543782</t>
  </si>
  <si>
    <t xml:space="preserve">543920</t>
  </si>
  <si>
    <t xml:space="preserve">SSEGL</t>
  </si>
  <si>
    <t xml:space="preserve">ALUWIND</t>
  </si>
  <si>
    <t xml:space="preserve">DANISH</t>
  </si>
  <si>
    <t xml:space="preserve">WTICAB</t>
  </si>
  <si>
    <t xml:space="preserve">INFOLLION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</si>
</sst>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yy"/>
    <numFmt numFmtId="166" formatCode="#,##0.0"/>
    <numFmt numFmtId="167" formatCode="0%"/>
    <numFmt numFmtId="168" formatCode="0.0%;[RED]\(0.0%\)"/>
    <numFmt numFmtId="169" formatCode="0&quot;/5&quot;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Arial"/>
      <family val="0"/>
      <charset val="1"/>
    </font>
    <font>
      <i val="true"/>
      <sz val="9"/>
      <color rgb="FF5B6472"/>
      <name val="Arial"/>
      <family val="0"/>
      <charset val="1"/>
    </font>
    <font>
      <b val="true"/>
      <sz val="9"/>
      <color rgb="FF5B647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B3261E"/>
      <name val="Arial"/>
      <family val="0"/>
      <charset val="1"/>
    </font>
    <font>
      <b val="true"/>
      <sz val="10"/>
      <color rgb="FFB3261E"/>
      <name val="Arial"/>
      <family val="0"/>
      <charset val="1"/>
    </font>
    <font>
      <b val="true"/>
      <sz val="10"/>
      <color rgb="FF1B7A43"/>
      <name val="Arial"/>
      <family val="0"/>
      <charset val="1"/>
    </font>
    <font>
      <b val="true"/>
      <sz val="10"/>
      <color rgb="FF2E5A87"/>
      <name val="Arial"/>
      <family val="0"/>
      <charset val="1"/>
    </font>
    <font>
      <b val="true"/>
      <sz val="10"/>
      <color rgb="FF7A4FA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EAF0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BE3"/>
      </left>
      <right style="thin">
        <color rgb="FFD5DBE3"/>
      </right>
      <top style="thin">
        <color rgb="FFD5DBE3"/>
      </top>
      <bottom style="thin">
        <color rgb="FFD5DB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2A44"/>
          <bgColor rgb="FF000000"/>
        </patternFill>
      </fill>
    </dxf>
    <dxf>
      <fill>
        <patternFill patternType="solid">
          <fgColor rgb="FFEAF0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B7A43"/>
          <bgColor rgb="FF000000"/>
        </patternFill>
      </fill>
    </dxf>
    <dxf>
      <fill>
        <patternFill patternType="solid">
          <fgColor rgb="FFB3261E"/>
          <bgColor rgb="FF000000"/>
        </patternFill>
      </fill>
    </dxf>
    <dxf>
      <font>
        <name val="Arial"/>
        <charset val="1"/>
        <family val="0"/>
        <color rgb="FF1B7A43"/>
        <sz val="10"/>
      </font>
    </dxf>
    <dxf>
      <font>
        <name val="Arial"/>
        <charset val="1"/>
        <family val="0"/>
        <color rgb="FFB3261E"/>
        <sz val="10"/>
      </font>
    </dxf>
    <dxf>
      <fill>
        <patternFill patternType="solid">
          <fgColor rgb="FF2E5A87"/>
          <bgColor rgb="FF000000"/>
        </patternFill>
      </fill>
    </dxf>
    <dxf>
      <fill>
        <patternFill patternType="solid">
          <fgColor rgb="FF7A4FA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A43"/>
      <rgbColor rgb="FFC0C0C0"/>
      <rgbColor rgb="FF808080"/>
      <rgbColor rgb="FF9999FF"/>
      <rgbColor rgb="FF7A4FA3"/>
      <rgbColor rgb="FFFFFFCC"/>
      <rgbColor rgb="FFEAF0F7"/>
      <rgbColor rgb="FF660066"/>
      <rgbColor rgb="FFFF8080"/>
      <rgbColor rgb="FF0066CC"/>
      <rgbColor rgb="FFD5DB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2"/>
      <rgbColor rgb="FF969696"/>
      <rgbColor rgb="FF003366"/>
      <rgbColor rgb="FF339966"/>
      <rgbColor rgb="FF003300"/>
      <rgbColor rgb="FF333300"/>
      <rgbColor rgb="FFB3261E"/>
      <rgbColor rgb="FF993366"/>
      <rgbColor rgb="FF2E5A87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  <col collapsed="false" customWidth="true" hidden="false" outlineLevel="0" max="3" min="3" style="0" width="4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2" t="s">
        <v>3</v>
      </c>
    </row>
    <row r="6" customFormat="false" ht="15" hidden="false" customHeight="false" outlineLevel="0" collapsed="false">
      <c r="A6" s="4" t="s">
        <v>4</v>
      </c>
      <c r="B6" s="4" t="s">
        <v>5</v>
      </c>
      <c r="C6" s="4" t="s">
        <v>6</v>
      </c>
    </row>
    <row r="7" customFormat="false" ht="15" hidden="false" customHeight="false" outlineLevel="0" collapsed="false">
      <c r="A7" s="5" t="s">
        <v>7</v>
      </c>
      <c r="B7" s="6" t="n">
        <f aca="false">COUNTA('Emerging Titans'!B2:B500)</f>
        <v>28</v>
      </c>
      <c r="C7" s="6" t="n">
        <f aca="false">COUNTA('Tiny Titans'!B2:B500)</f>
        <v>13</v>
      </c>
    </row>
    <row r="8" customFormat="false" ht="15" hidden="false" customHeight="false" outlineLevel="0" collapsed="false">
      <c r="A8" s="5" t="s">
        <v>8</v>
      </c>
      <c r="B8" s="6" t="s">
        <v>9</v>
      </c>
      <c r="C8" s="6" t="s">
        <v>10</v>
      </c>
    </row>
    <row r="9" customFormat="false" ht="15" hidden="false" customHeight="false" outlineLevel="0" collapsed="false">
      <c r="A9" s="5" t="s">
        <v>11</v>
      </c>
      <c r="B9" s="6" t="s">
        <v>12</v>
      </c>
      <c r="C9" s="6" t="s">
        <v>13</v>
      </c>
    </row>
    <row r="10" customFormat="false" ht="15" hidden="false" customHeight="false" outlineLevel="0" collapsed="false">
      <c r="A10" s="5" t="s">
        <v>14</v>
      </c>
      <c r="B10" s="6" t="s">
        <v>15</v>
      </c>
      <c r="C10" s="6" t="s">
        <v>16</v>
      </c>
    </row>
    <row r="11" customFormat="false" ht="15" hidden="false" customHeight="false" outlineLevel="0" collapsed="false">
      <c r="A11" s="5" t="s">
        <v>17</v>
      </c>
      <c r="B11" s="6" t="s">
        <v>18</v>
      </c>
      <c r="C11" s="6" t="s">
        <v>19</v>
      </c>
    </row>
    <row r="12" customFormat="false" ht="15" hidden="false" customHeight="false" outlineLevel="0" collapsed="false">
      <c r="A12" s="5" t="s">
        <v>20</v>
      </c>
      <c r="B12" s="6" t="s">
        <v>21</v>
      </c>
      <c r="C12" s="6" t="s">
        <v>22</v>
      </c>
    </row>
    <row r="14" customFormat="false" ht="79.5" hidden="false" customHeight="true" outlineLevel="0" collapsed="false">
      <c r="A14" s="7" t="s">
        <v>23</v>
      </c>
      <c r="B14" s="7"/>
      <c r="C14" s="7"/>
    </row>
    <row r="16" customFormat="false" ht="43.5" hidden="false" customHeight="true" outlineLevel="0" collapsed="false">
      <c r="A16" s="8" t="s">
        <v>24</v>
      </c>
      <c r="B16" s="8"/>
      <c r="C16" s="8"/>
    </row>
  </sheetData>
  <mergeCells count="2">
    <mergeCell ref="A14:C14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40"/>
  </cols>
  <sheetData>
    <row r="1" customFormat="false" ht="23.85" hidden="false" customHeight="false" outlineLevel="0" collapsed="false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  <c r="K1" s="4" t="s">
        <v>35</v>
      </c>
    </row>
    <row r="2" customFormat="false" ht="15" hidden="false" customHeight="false" outlineLevel="0" collapsed="false">
      <c r="A2" s="9" t="n">
        <v>1</v>
      </c>
      <c r="B2" s="6" t="s">
        <v>36</v>
      </c>
      <c r="C2" s="6" t="s">
        <v>37</v>
      </c>
      <c r="D2" s="10" t="n">
        <v>46169</v>
      </c>
      <c r="E2" s="11" t="n">
        <v>1125</v>
      </c>
      <c r="F2" s="12" t="n">
        <v>0.05</v>
      </c>
      <c r="G2" s="13" t="s">
        <v>38</v>
      </c>
      <c r="H2" s="11" t="n">
        <f aca="false">IFERROR(xlookup(B2,liveprices!$a:$a,liveprices!$d:$d),1125)</f>
        <v>1125</v>
      </c>
      <c r="I2" s="14" t="n">
        <v>-0.134</v>
      </c>
      <c r="J2" s="14" t="n">
        <f aca="false">IF(E2=0,"",(H2-E2)/E2)</f>
        <v>0</v>
      </c>
      <c r="K2" s="6" t="s">
        <v>39</v>
      </c>
    </row>
    <row r="3" customFormat="false" ht="15" hidden="false" customHeight="false" outlineLevel="0" collapsed="false">
      <c r="A3" s="15" t="n">
        <v>2</v>
      </c>
      <c r="B3" s="16" t="s">
        <v>40</v>
      </c>
      <c r="C3" s="16" t="s">
        <v>41</v>
      </c>
      <c r="D3" s="17" t="n">
        <v>46169</v>
      </c>
      <c r="E3" s="18" t="n">
        <v>362</v>
      </c>
      <c r="F3" s="19" t="n">
        <v>0.03</v>
      </c>
      <c r="G3" s="20" t="s">
        <v>38</v>
      </c>
      <c r="H3" s="18" t="n">
        <f aca="false">IFERROR(xlookup(B3,liveprices!$a:$a,liveprices!$d:$d),362)</f>
        <v>362</v>
      </c>
      <c r="I3" s="21" t="n">
        <v>-0.368</v>
      </c>
      <c r="J3" s="21" t="n">
        <f aca="false">IF(E3=0,"",(H3-E3)/E3)</f>
        <v>0</v>
      </c>
      <c r="K3" s="16" t="s">
        <v>39</v>
      </c>
    </row>
    <row r="4" customFormat="false" ht="15" hidden="false" customHeight="false" outlineLevel="0" collapsed="false">
      <c r="A4" s="9" t="n">
        <v>3</v>
      </c>
      <c r="B4" s="6" t="s">
        <v>42</v>
      </c>
      <c r="C4" s="6" t="s">
        <v>43</v>
      </c>
      <c r="D4" s="10" t="n">
        <v>46119</v>
      </c>
      <c r="E4" s="11" t="n">
        <v>379</v>
      </c>
      <c r="F4" s="12" t="n">
        <v>0.03</v>
      </c>
      <c r="G4" s="22" t="s">
        <v>44</v>
      </c>
      <c r="H4" s="11" t="n">
        <f aca="false">IFERROR(xlookup(B4,liveprices!$a:$a,liveprices!$d:$d),388)</f>
        <v>388</v>
      </c>
      <c r="I4" s="14" t="n">
        <v>0.023</v>
      </c>
      <c r="J4" s="14" t="n">
        <f aca="false">IF(E4=0,"",(H4-E4)/E4)</f>
        <v>0.0237467018469657</v>
      </c>
      <c r="K4" s="6"/>
    </row>
    <row r="5" customFormat="false" ht="15" hidden="false" customHeight="false" outlineLevel="0" collapsed="false">
      <c r="A5" s="15" t="n">
        <v>4</v>
      </c>
      <c r="B5" s="16" t="s">
        <v>45</v>
      </c>
      <c r="C5" s="16" t="s">
        <v>46</v>
      </c>
      <c r="D5" s="17" t="n">
        <v>46083</v>
      </c>
      <c r="E5" s="18" t="n">
        <v>666</v>
      </c>
      <c r="F5" s="19" t="n">
        <v>0.05</v>
      </c>
      <c r="G5" s="23" t="s">
        <v>44</v>
      </c>
      <c r="H5" s="18" t="n">
        <f aca="false">IFERROR(xlookup(B5,liveprices!$a:$a,liveprices!$d:$d),822)</f>
        <v>822</v>
      </c>
      <c r="I5" s="21" t="n">
        <v>0.235</v>
      </c>
      <c r="J5" s="21" t="n">
        <f aca="false">IF(E5=0,"",(H5-E5)/E5)</f>
        <v>0.234234234234234</v>
      </c>
      <c r="K5" s="16"/>
    </row>
    <row r="6" customFormat="false" ht="15" hidden="false" customHeight="false" outlineLevel="0" collapsed="false">
      <c r="A6" s="9" t="n">
        <v>5</v>
      </c>
      <c r="B6" s="6" t="s">
        <v>47</v>
      </c>
      <c r="C6" s="6" t="s">
        <v>48</v>
      </c>
      <c r="D6" s="10" t="n">
        <v>46083</v>
      </c>
      <c r="E6" s="11" t="n">
        <v>2685</v>
      </c>
      <c r="F6" s="12" t="n">
        <v>0.04</v>
      </c>
      <c r="G6" s="22" t="s">
        <v>44</v>
      </c>
      <c r="H6" s="11" t="n">
        <f aca="false">IFERROR(xlookup(B6,liveprices!$a:$a,liveprices!$d:$d),2880)</f>
        <v>2880</v>
      </c>
      <c r="I6" s="14" t="n">
        <v>0.072</v>
      </c>
      <c r="J6" s="14" t="n">
        <f aca="false">IF(E6=0,"",(H6-E6)/E6)</f>
        <v>0.0726256983240224</v>
      </c>
      <c r="K6" s="6"/>
    </row>
    <row r="7" customFormat="false" ht="15" hidden="false" customHeight="false" outlineLevel="0" collapsed="false">
      <c r="A7" s="15" t="n">
        <v>6</v>
      </c>
      <c r="B7" s="16" t="s">
        <v>49</v>
      </c>
      <c r="C7" s="16" t="s">
        <v>50</v>
      </c>
      <c r="D7" s="17" t="n">
        <v>46034</v>
      </c>
      <c r="E7" s="18" t="n">
        <v>1635</v>
      </c>
      <c r="F7" s="19" t="n">
        <v>0.03</v>
      </c>
      <c r="G7" s="23" t="s">
        <v>44</v>
      </c>
      <c r="H7" s="18" t="n">
        <f aca="false">IFERROR(xlookup(B7,liveprices!$a:$a,liveprices!$d:$d),1698)</f>
        <v>1698</v>
      </c>
      <c r="I7" s="21" t="n">
        <v>0.038</v>
      </c>
      <c r="J7" s="21" t="n">
        <f aca="false">IF(E7=0,"",(H7-E7)/E7)</f>
        <v>0.0385321100917431</v>
      </c>
      <c r="K7" s="16"/>
    </row>
    <row r="8" customFormat="false" ht="15" hidden="false" customHeight="false" outlineLevel="0" collapsed="false">
      <c r="A8" s="9" t="n">
        <v>7</v>
      </c>
      <c r="B8" s="6" t="s">
        <v>51</v>
      </c>
      <c r="C8" s="6" t="s">
        <v>52</v>
      </c>
      <c r="D8" s="10" t="n">
        <v>46034</v>
      </c>
      <c r="E8" s="11" t="n">
        <v>1862</v>
      </c>
      <c r="F8" s="12" t="n">
        <v>0.03</v>
      </c>
      <c r="G8" s="22" t="s">
        <v>44</v>
      </c>
      <c r="H8" s="11" t="n">
        <f aca="false">IFERROR(xlookup(B8,liveprices!$a:$a,liveprices!$d:$d),1799)</f>
        <v>1799</v>
      </c>
      <c r="I8" s="14" t="n">
        <v>-0.033</v>
      </c>
      <c r="J8" s="14" t="n">
        <f aca="false">IF(E8=0,"",(H8-E8)/E8)</f>
        <v>-0.0338345864661654</v>
      </c>
      <c r="K8" s="6"/>
    </row>
    <row r="9" customFormat="false" ht="15" hidden="false" customHeight="false" outlineLevel="0" collapsed="false">
      <c r="A9" s="15" t="n">
        <v>8</v>
      </c>
      <c r="B9" s="16" t="s">
        <v>53</v>
      </c>
      <c r="C9" s="16" t="s">
        <v>50</v>
      </c>
      <c r="D9" s="17" t="n">
        <v>46034</v>
      </c>
      <c r="E9" s="18" t="n">
        <v>19000</v>
      </c>
      <c r="F9" s="19" t="n">
        <v>0.03</v>
      </c>
      <c r="G9" s="23" t="s">
        <v>44</v>
      </c>
      <c r="H9" s="18" t="n">
        <f aca="false">IFERROR(xlookup(B9,liveprices!$a:$a,liveprices!$d:$d),20913)</f>
        <v>20913</v>
      </c>
      <c r="I9" s="21" t="n">
        <v>0.1</v>
      </c>
      <c r="J9" s="21" t="n">
        <f aca="false">IF(E9=0,"",(H9-E9)/E9)</f>
        <v>0.100684210526316</v>
      </c>
      <c r="K9" s="16"/>
    </row>
    <row r="10" customFormat="false" ht="15" hidden="false" customHeight="false" outlineLevel="0" collapsed="false">
      <c r="A10" s="9" t="n">
        <v>9</v>
      </c>
      <c r="B10" s="6" t="s">
        <v>54</v>
      </c>
      <c r="C10" s="6" t="s">
        <v>55</v>
      </c>
      <c r="D10" s="10" t="n">
        <v>46034</v>
      </c>
      <c r="E10" s="11" t="n">
        <v>189.5</v>
      </c>
      <c r="F10" s="12" t="n">
        <v>0.02</v>
      </c>
      <c r="G10" s="22" t="s">
        <v>44</v>
      </c>
      <c r="H10" s="11" t="n">
        <f aca="false">IFERROR(xlookup(B10,liveprices!$a:$a,liveprices!$d:$d),163.2)</f>
        <v>163.2</v>
      </c>
      <c r="I10" s="14" t="n">
        <v>-0.138</v>
      </c>
      <c r="J10" s="14" t="n">
        <f aca="false">IF(E10=0,"",(H10-E10)/E10)</f>
        <v>-0.138786279683377</v>
      </c>
      <c r="K10" s="6"/>
    </row>
    <row r="11" customFormat="false" ht="15" hidden="false" customHeight="false" outlineLevel="0" collapsed="false">
      <c r="A11" s="15" t="n">
        <v>10</v>
      </c>
      <c r="B11" s="16" t="s">
        <v>56</v>
      </c>
      <c r="C11" s="16" t="s">
        <v>57</v>
      </c>
      <c r="D11" s="17" t="n">
        <v>46030</v>
      </c>
      <c r="E11" s="18" t="n">
        <v>1736</v>
      </c>
      <c r="F11" s="19" t="n">
        <v>0.03</v>
      </c>
      <c r="G11" s="23" t="s">
        <v>44</v>
      </c>
      <c r="H11" s="18" t="n">
        <f aca="false">IFERROR(xlookup(B11,liveprices!$a:$a,liveprices!$d:$d),1589)</f>
        <v>1589</v>
      </c>
      <c r="I11" s="21" t="n">
        <v>-0.084</v>
      </c>
      <c r="J11" s="21" t="n">
        <f aca="false">IF(E11=0,"",(H11-E11)/E11)</f>
        <v>-0.0846774193548387</v>
      </c>
      <c r="K11" s="16"/>
    </row>
    <row r="12" customFormat="false" ht="15" hidden="false" customHeight="false" outlineLevel="0" collapsed="false">
      <c r="A12" s="9" t="n">
        <v>11</v>
      </c>
      <c r="B12" s="6" t="s">
        <v>58</v>
      </c>
      <c r="C12" s="6" t="s">
        <v>59</v>
      </c>
      <c r="D12" s="10" t="n">
        <v>46030</v>
      </c>
      <c r="E12" s="11" t="n">
        <v>335</v>
      </c>
      <c r="F12" s="12" t="n">
        <v>0.03</v>
      </c>
      <c r="G12" s="22" t="s">
        <v>44</v>
      </c>
      <c r="H12" s="11" t="n">
        <f aca="false">IFERROR(xlookup(B12,liveprices!$a:$a,liveprices!$d:$d),336)</f>
        <v>336</v>
      </c>
      <c r="I12" s="14" t="n">
        <v>0</v>
      </c>
      <c r="J12" s="14" t="n">
        <f aca="false">IF(E12=0,"",(H12-E12)/E12)</f>
        <v>0.00298507462686567</v>
      </c>
      <c r="K12" s="6"/>
    </row>
    <row r="13" customFormat="false" ht="15" hidden="false" customHeight="false" outlineLevel="0" collapsed="false">
      <c r="A13" s="15" t="n">
        <v>12</v>
      </c>
      <c r="B13" s="16" t="s">
        <v>60</v>
      </c>
      <c r="C13" s="16" t="s">
        <v>61</v>
      </c>
      <c r="D13" s="17" t="n">
        <v>46030</v>
      </c>
      <c r="E13" s="18" t="n">
        <v>159</v>
      </c>
      <c r="F13" s="19" t="n">
        <v>0.03</v>
      </c>
      <c r="G13" s="23" t="s">
        <v>44</v>
      </c>
      <c r="H13" s="18" t="n">
        <f aca="false">IFERROR(xlookup(B13,liveprices!$a:$a,liveprices!$d:$d),151)</f>
        <v>151</v>
      </c>
      <c r="I13" s="21" t="n">
        <v>-0.04</v>
      </c>
      <c r="J13" s="21" t="n">
        <f aca="false">IF(E13=0,"",(H13-E13)/E13)</f>
        <v>-0.050314465408805</v>
      </c>
      <c r="K13" s="16"/>
    </row>
    <row r="14" customFormat="false" ht="15" hidden="false" customHeight="false" outlineLevel="0" collapsed="false">
      <c r="A14" s="9" t="n">
        <v>13</v>
      </c>
      <c r="B14" s="6" t="s">
        <v>62</v>
      </c>
      <c r="C14" s="6" t="s">
        <v>63</v>
      </c>
      <c r="D14" s="10" t="n">
        <v>46021</v>
      </c>
      <c r="E14" s="11" t="n">
        <v>315</v>
      </c>
      <c r="F14" s="12" t="n">
        <v>0.03</v>
      </c>
      <c r="G14" s="22" t="s">
        <v>44</v>
      </c>
      <c r="H14" s="11" t="n">
        <f aca="false">IFERROR(xlookup(B14,liveprices!$a:$a,liveprices!$d:$d),260)</f>
        <v>260</v>
      </c>
      <c r="I14" s="14" t="n">
        <v>-0.17</v>
      </c>
      <c r="J14" s="14" t="n">
        <f aca="false">IF(E14=0,"",(H14-E14)/E14)</f>
        <v>-0.174603174603175</v>
      </c>
      <c r="K14" s="6"/>
    </row>
    <row r="15" customFormat="false" ht="15" hidden="false" customHeight="false" outlineLevel="0" collapsed="false">
      <c r="A15" s="15" t="n">
        <v>14</v>
      </c>
      <c r="B15" s="16" t="s">
        <v>64</v>
      </c>
      <c r="C15" s="16" t="s">
        <v>65</v>
      </c>
      <c r="D15" s="17" t="n">
        <v>45986</v>
      </c>
      <c r="E15" s="18" t="n">
        <v>96.4</v>
      </c>
      <c r="F15" s="19" t="n">
        <v>0.03</v>
      </c>
      <c r="G15" s="23" t="s">
        <v>44</v>
      </c>
      <c r="H15" s="18" t="n">
        <f aca="false">IFERROR(xlookup(B15,liveprices!$a:$a,liveprices!$d:$d),106)</f>
        <v>106</v>
      </c>
      <c r="I15" s="21" t="n">
        <v>0.1</v>
      </c>
      <c r="J15" s="21" t="n">
        <f aca="false">IF(E15=0,"",(H15-E15)/E15)</f>
        <v>0.0995850622406638</v>
      </c>
      <c r="K15" s="16"/>
    </row>
    <row r="16" customFormat="false" ht="15" hidden="false" customHeight="false" outlineLevel="0" collapsed="false">
      <c r="A16" s="9" t="n">
        <v>15</v>
      </c>
      <c r="B16" s="6" t="s">
        <v>66</v>
      </c>
      <c r="C16" s="6" t="s">
        <v>37</v>
      </c>
      <c r="D16" s="10" t="n">
        <v>45923</v>
      </c>
      <c r="E16" s="11" t="n">
        <v>1759</v>
      </c>
      <c r="F16" s="12" t="n">
        <v>0.03</v>
      </c>
      <c r="G16" s="22" t="s">
        <v>44</v>
      </c>
      <c r="H16" s="11" t="n">
        <f aca="false">IFERROR(xlookup(B16,liveprices!$a:$a,liveprices!$d:$d),2406)</f>
        <v>2406</v>
      </c>
      <c r="I16" s="14" t="n">
        <v>0.37</v>
      </c>
      <c r="J16" s="14" t="n">
        <f aca="false">IF(E16=0,"",(H16-E16)/E16)</f>
        <v>0.367822626492325</v>
      </c>
      <c r="K16" s="6"/>
    </row>
    <row r="17" customFormat="false" ht="15" hidden="false" customHeight="false" outlineLevel="0" collapsed="false">
      <c r="A17" s="15" t="n">
        <v>16</v>
      </c>
      <c r="B17" s="16" t="s">
        <v>67</v>
      </c>
      <c r="C17" s="16" t="s">
        <v>68</v>
      </c>
      <c r="D17" s="17" t="n">
        <v>45911</v>
      </c>
      <c r="E17" s="18" t="n">
        <v>179</v>
      </c>
      <c r="F17" s="19" t="n">
        <v>0.03</v>
      </c>
      <c r="G17" s="23" t="s">
        <v>44</v>
      </c>
      <c r="H17" s="18" t="n">
        <f aca="false">IFERROR(xlookup(B17,liveprices!$a:$a,liveprices!$d:$d),115)</f>
        <v>115</v>
      </c>
      <c r="I17" s="21" t="n">
        <v>-0.35</v>
      </c>
      <c r="J17" s="21" t="n">
        <f aca="false">IF(E17=0,"",(H17-E17)/E17)</f>
        <v>-0.357541899441341</v>
      </c>
      <c r="K17" s="16"/>
    </row>
    <row r="18" customFormat="false" ht="15" hidden="false" customHeight="false" outlineLevel="0" collapsed="false">
      <c r="A18" s="9" t="n">
        <v>17</v>
      </c>
      <c r="B18" s="6" t="s">
        <v>69</v>
      </c>
      <c r="C18" s="6" t="s">
        <v>70</v>
      </c>
      <c r="D18" s="10" t="n">
        <v>45911</v>
      </c>
      <c r="E18" s="11" t="n">
        <v>114.5</v>
      </c>
      <c r="F18" s="12" t="n">
        <v>0.05</v>
      </c>
      <c r="G18" s="22" t="s">
        <v>44</v>
      </c>
      <c r="H18" s="11" t="n">
        <f aca="false">IFERROR(xlookup(B18,liveprices!$a:$a,liveprices!$d:$d),120)</f>
        <v>120</v>
      </c>
      <c r="I18" s="14" t="n">
        <v>0.048</v>
      </c>
      <c r="J18" s="14" t="n">
        <f aca="false">IF(E18=0,"",(H18-E18)/E18)</f>
        <v>0.0480349344978166</v>
      </c>
      <c r="K18" s="6"/>
    </row>
    <row r="19" customFormat="false" ht="15" hidden="false" customHeight="false" outlineLevel="0" collapsed="false">
      <c r="A19" s="15" t="n">
        <v>18</v>
      </c>
      <c r="B19" s="16" t="s">
        <v>71</v>
      </c>
      <c r="C19" s="16" t="s">
        <v>72</v>
      </c>
      <c r="D19" s="17" t="n">
        <v>45821</v>
      </c>
      <c r="E19" s="18" t="n">
        <v>889</v>
      </c>
      <c r="F19" s="19" t="n">
        <v>0.05</v>
      </c>
      <c r="G19" s="23" t="s">
        <v>44</v>
      </c>
      <c r="H19" s="18" t="n">
        <f aca="false">IFERROR(xlookup(B19,liveprices!$a:$a,liveprices!$d:$d),805)</f>
        <v>805</v>
      </c>
      <c r="I19" s="21" t="n">
        <v>-0.09</v>
      </c>
      <c r="J19" s="21" t="n">
        <f aca="false">IF(E19=0,"",(H19-E19)/E19)</f>
        <v>-0.094488188976378</v>
      </c>
      <c r="K19" s="16"/>
    </row>
    <row r="20" customFormat="false" ht="15" hidden="false" customHeight="false" outlineLevel="0" collapsed="false">
      <c r="A20" s="9" t="n">
        <v>19</v>
      </c>
      <c r="B20" s="6" t="s">
        <v>73</v>
      </c>
      <c r="C20" s="6" t="s">
        <v>74</v>
      </c>
      <c r="D20" s="10" t="n">
        <v>45800</v>
      </c>
      <c r="E20" s="11" t="n">
        <v>454</v>
      </c>
      <c r="F20" s="12" t="n">
        <v>0.05</v>
      </c>
      <c r="G20" s="22" t="s">
        <v>44</v>
      </c>
      <c r="H20" s="11" t="n">
        <f aca="false">IFERROR(xlookup(B20,liveprices!$a:$a,liveprices!$d:$d),525)</f>
        <v>525</v>
      </c>
      <c r="I20" s="14" t="n">
        <v>0.156</v>
      </c>
      <c r="J20" s="14" t="n">
        <f aca="false">IF(E20=0,"",(H20-E20)/E20)</f>
        <v>0.156387665198238</v>
      </c>
      <c r="K20" s="6"/>
    </row>
    <row r="21" customFormat="false" ht="15" hidden="false" customHeight="false" outlineLevel="0" collapsed="false">
      <c r="A21" s="15" t="n">
        <v>20</v>
      </c>
      <c r="B21" s="16" t="s">
        <v>75</v>
      </c>
      <c r="C21" s="16" t="s">
        <v>68</v>
      </c>
      <c r="D21" s="17" t="n">
        <v>45776</v>
      </c>
      <c r="E21" s="18" t="n">
        <v>637</v>
      </c>
      <c r="F21" s="19" t="n">
        <v>0.03</v>
      </c>
      <c r="G21" s="23" t="s">
        <v>44</v>
      </c>
      <c r="H21" s="18" t="n">
        <f aca="false">IFERROR(xlookup(B21,liveprices!$a:$a,liveprices!$d:$d),735)</f>
        <v>735</v>
      </c>
      <c r="I21" s="21" t="n">
        <v>0.16</v>
      </c>
      <c r="J21" s="21" t="n">
        <f aca="false">IF(E21=0,"",(H21-E21)/E21)</f>
        <v>0.153846153846154</v>
      </c>
      <c r="K21" s="16"/>
    </row>
    <row r="22" customFormat="false" ht="15" hidden="false" customHeight="false" outlineLevel="0" collapsed="false">
      <c r="A22" s="9" t="n">
        <v>21</v>
      </c>
      <c r="B22" s="6" t="s">
        <v>76</v>
      </c>
      <c r="C22" s="6" t="s">
        <v>46</v>
      </c>
      <c r="D22" s="10" t="n">
        <v>45770</v>
      </c>
      <c r="E22" s="11" t="n">
        <v>761</v>
      </c>
      <c r="F22" s="12" t="n">
        <v>0.03</v>
      </c>
      <c r="G22" s="22" t="s">
        <v>44</v>
      </c>
      <c r="H22" s="11" t="n">
        <f aca="false">IFERROR(xlookup(B22,liveprices!$a:$a,liveprices!$d:$d),1492)</f>
        <v>1492</v>
      </c>
      <c r="I22" s="14" t="n">
        <v>0.96</v>
      </c>
      <c r="J22" s="14" t="n">
        <f aca="false">IF(E22=0,"",(H22-E22)/E22)</f>
        <v>0.960578186596583</v>
      </c>
      <c r="K22" s="6"/>
    </row>
    <row r="23" customFormat="false" ht="15" hidden="false" customHeight="false" outlineLevel="0" collapsed="false">
      <c r="A23" s="15" t="n">
        <v>22</v>
      </c>
      <c r="B23" s="16" t="s">
        <v>77</v>
      </c>
      <c r="C23" s="16" t="s">
        <v>78</v>
      </c>
      <c r="D23" s="17" t="n">
        <v>45736</v>
      </c>
      <c r="E23" s="18" t="n">
        <v>554</v>
      </c>
      <c r="F23" s="19" t="n">
        <v>0.03</v>
      </c>
      <c r="G23" s="23" t="s">
        <v>44</v>
      </c>
      <c r="H23" s="18" t="n">
        <f aca="false">IFERROR(xlookup(B23,liveprices!$a:$a,liveprices!$d:$d),1112)</f>
        <v>1112</v>
      </c>
      <c r="I23" s="21" t="n">
        <v>1</v>
      </c>
      <c r="J23" s="21" t="n">
        <f aca="false">IF(E23=0,"",(H23-E23)/E23)</f>
        <v>1.0072202166065</v>
      </c>
      <c r="K23" s="16"/>
    </row>
    <row r="24" customFormat="false" ht="15" hidden="false" customHeight="false" outlineLevel="0" collapsed="false">
      <c r="A24" s="9" t="n">
        <v>23</v>
      </c>
      <c r="B24" s="6" t="s">
        <v>79</v>
      </c>
      <c r="C24" s="6" t="s">
        <v>68</v>
      </c>
      <c r="D24" s="10" t="n">
        <v>45736</v>
      </c>
      <c r="E24" s="11" t="n">
        <v>58.3</v>
      </c>
      <c r="F24" s="12" t="n">
        <v>0.05</v>
      </c>
      <c r="G24" s="22" t="s">
        <v>44</v>
      </c>
      <c r="H24" s="11" t="n">
        <f aca="false">IFERROR(xlookup(B24,liveprices!$a:$a,liveprices!$d:$d),65.8)</f>
        <v>65.8</v>
      </c>
      <c r="I24" s="14" t="n">
        <v>0.128</v>
      </c>
      <c r="J24" s="14" t="n">
        <f aca="false">IF(E24=0,"",(H24-E24)/E24)</f>
        <v>0.128644939965695</v>
      </c>
      <c r="K24" s="6"/>
    </row>
    <row r="25" customFormat="false" ht="15" hidden="false" customHeight="false" outlineLevel="0" collapsed="false">
      <c r="A25" s="15" t="n">
        <v>24</v>
      </c>
      <c r="B25" s="16" t="s">
        <v>80</v>
      </c>
      <c r="C25" s="16" t="s">
        <v>74</v>
      </c>
      <c r="D25" s="17" t="n">
        <v>45727</v>
      </c>
      <c r="E25" s="18" t="n">
        <v>689</v>
      </c>
      <c r="F25" s="19" t="n">
        <v>0.03</v>
      </c>
      <c r="G25" s="23" t="s">
        <v>44</v>
      </c>
      <c r="H25" s="18" t="n">
        <f aca="false">IFERROR(xlookup(B25,liveprices!$a:$a,liveprices!$d:$d),1148)</f>
        <v>1148</v>
      </c>
      <c r="I25" s="21" t="n">
        <v>0.667</v>
      </c>
      <c r="J25" s="21" t="n">
        <f aca="false">IF(E25=0,"",(H25-E25)/E25)</f>
        <v>0.666182873730044</v>
      </c>
      <c r="K25" s="16"/>
    </row>
    <row r="26" customFormat="false" ht="15" hidden="false" customHeight="false" outlineLevel="0" collapsed="false">
      <c r="A26" s="9" t="n">
        <v>25</v>
      </c>
      <c r="B26" s="6" t="s">
        <v>81</v>
      </c>
      <c r="C26" s="6" t="s">
        <v>82</v>
      </c>
      <c r="D26" s="10" t="n">
        <v>45727</v>
      </c>
      <c r="E26" s="11" t="n">
        <v>521</v>
      </c>
      <c r="F26" s="12" t="n">
        <v>0.03</v>
      </c>
      <c r="G26" s="22" t="s">
        <v>44</v>
      </c>
      <c r="H26" s="11" t="n">
        <f aca="false">IFERROR(xlookup(B26,liveprices!$a:$a,liveprices!$d:$d),481)</f>
        <v>481</v>
      </c>
      <c r="I26" s="14" t="n">
        <v>-0.076</v>
      </c>
      <c r="J26" s="14" t="n">
        <f aca="false">IF(E26=0,"",(H26-E26)/E26)</f>
        <v>-0.0767754318618042</v>
      </c>
      <c r="K26" s="6"/>
    </row>
    <row r="27" customFormat="false" ht="15" hidden="false" customHeight="false" outlineLevel="0" collapsed="false">
      <c r="A27" s="15" t="n">
        <v>26</v>
      </c>
      <c r="B27" s="16" t="s">
        <v>83</v>
      </c>
      <c r="C27" s="16" t="s">
        <v>84</v>
      </c>
      <c r="D27" s="17" t="n">
        <v>45726</v>
      </c>
      <c r="E27" s="18" t="n">
        <v>543.6</v>
      </c>
      <c r="F27" s="19" t="n">
        <v>0.05</v>
      </c>
      <c r="G27" s="23" t="s">
        <v>44</v>
      </c>
      <c r="H27" s="18" t="n">
        <f aca="false">IFERROR(xlookup(B27,liveprices!$a:$a,liveprices!$d:$d),670)</f>
        <v>670</v>
      </c>
      <c r="I27" s="21" t="n">
        <v>0.232</v>
      </c>
      <c r="J27" s="21" t="n">
        <f aca="false">IF(E27=0,"",(H27-E27)/E27)</f>
        <v>0.23252391464312</v>
      </c>
      <c r="K27" s="16"/>
    </row>
    <row r="28" customFormat="false" ht="15" hidden="false" customHeight="false" outlineLevel="0" collapsed="false">
      <c r="A28" s="9" t="n">
        <v>27</v>
      </c>
      <c r="B28" s="6" t="s">
        <v>85</v>
      </c>
      <c r="C28" s="6" t="s">
        <v>70</v>
      </c>
      <c r="D28" s="10" t="n">
        <v>45726</v>
      </c>
      <c r="E28" s="11" t="n">
        <v>474</v>
      </c>
      <c r="F28" s="12" t="n">
        <v>0.03</v>
      </c>
      <c r="G28" s="22" t="s">
        <v>44</v>
      </c>
      <c r="H28" s="11" t="n">
        <f aca="false">IFERROR(xlookup(B28,liveprices!$a:$a,liveprices!$d:$d),530)</f>
        <v>530</v>
      </c>
      <c r="I28" s="14" t="n">
        <v>0.122</v>
      </c>
      <c r="J28" s="14" t="n">
        <f aca="false">IF(E28=0,"",(H28-E28)/E28)</f>
        <v>0.118143459915612</v>
      </c>
      <c r="K28" s="6"/>
    </row>
    <row r="29" customFormat="false" ht="15" hidden="false" customHeight="false" outlineLevel="0" collapsed="false">
      <c r="A29" s="15" t="n">
        <v>28</v>
      </c>
      <c r="B29" s="16" t="s">
        <v>86</v>
      </c>
      <c r="C29" s="16" t="s">
        <v>72</v>
      </c>
      <c r="D29" s="17" t="n">
        <v>45726</v>
      </c>
      <c r="E29" s="18" t="n">
        <v>343</v>
      </c>
      <c r="F29" s="19" t="n">
        <v>0.05</v>
      </c>
      <c r="G29" s="23" t="s">
        <v>44</v>
      </c>
      <c r="H29" s="18" t="n">
        <f aca="false">IFERROR(xlookup(B29,liveprices!$a:$a,liveprices!$d:$d),547)</f>
        <v>547</v>
      </c>
      <c r="I29" s="21" t="n">
        <v>0.59</v>
      </c>
      <c r="J29" s="21" t="n">
        <f aca="false">IF(E29=0,"",(H29-E29)/E29)</f>
        <v>0.594752186588921</v>
      </c>
      <c r="K29" s="16"/>
    </row>
    <row r="30" customFormat="false" ht="15" hidden="false" customHeight="false" outlineLevel="0" collapsed="false">
      <c r="E30" s="24" t="s">
        <v>87</v>
      </c>
      <c r="F30" s="25" t="n">
        <f aca="false">SUM(F2:F29)</f>
        <v>1</v>
      </c>
    </row>
  </sheetData>
  <autoFilter ref="A1:K29"/>
  <conditionalFormatting sqref="I2:I29">
    <cfRule type="cellIs" priority="2" operator="greaterThan" aboveAverage="0" equalAverage="0" bottom="0" percent="0" rank="0" text="" dxfId="6">
      <formula>0</formula>
    </cfRule>
    <cfRule type="cellIs" priority="3" operator="lessThan" aboveAverage="0" equalAverage="0" bottom="0" percent="0" rank="0" text="" dxfId="7">
      <formula>0</formula>
    </cfRule>
  </conditionalFormatting>
  <conditionalFormatting sqref="J2:J29">
    <cfRule type="cellIs" priority="4" operator="greaterThan" aboveAverage="0" equalAverage="0" bottom="0" percent="0" rank="0" text="" dxfId="6">
      <formula>0</formula>
    </cfRule>
    <cfRule type="cellIs" priority="5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40"/>
  </cols>
  <sheetData>
    <row r="1" customFormat="false" ht="23.85" hidden="false" customHeight="false" outlineLevel="0" collapsed="false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88</v>
      </c>
      <c r="G1" s="4" t="s">
        <v>31</v>
      </c>
      <c r="H1" s="4" t="s">
        <v>32</v>
      </c>
      <c r="I1" s="4" t="s">
        <v>33</v>
      </c>
      <c r="J1" s="4" t="s">
        <v>34</v>
      </c>
      <c r="K1" s="4" t="s">
        <v>35</v>
      </c>
    </row>
    <row r="2" customFormat="false" ht="15" hidden="false" customHeight="false" outlineLevel="0" collapsed="false">
      <c r="A2" s="9" t="n">
        <v>1</v>
      </c>
      <c r="B2" s="6" t="s">
        <v>89</v>
      </c>
      <c r="C2" s="6" t="s">
        <v>90</v>
      </c>
      <c r="D2" s="10" t="n">
        <v>46120</v>
      </c>
      <c r="E2" s="11" t="n">
        <v>74.5</v>
      </c>
      <c r="F2" s="26" t="n">
        <v>3</v>
      </c>
      <c r="G2" s="22" t="s">
        <v>44</v>
      </c>
      <c r="H2" s="11" t="n">
        <f aca="false">IFERROR(xlookup(B2,liveprices!$a:$a,liveprices!$d:$d),86)</f>
        <v>86</v>
      </c>
      <c r="I2" s="14" t="n">
        <v>0.154</v>
      </c>
      <c r="J2" s="14" t="n">
        <f aca="false">IF(E2=0,"",(H2-E2)/E2)</f>
        <v>0.154362416107383</v>
      </c>
      <c r="K2" s="6"/>
    </row>
    <row r="3" customFormat="false" ht="15" hidden="false" customHeight="false" outlineLevel="0" collapsed="false">
      <c r="A3" s="15" t="n">
        <v>2</v>
      </c>
      <c r="B3" s="16" t="s">
        <v>91</v>
      </c>
      <c r="C3" s="16" t="s">
        <v>43</v>
      </c>
      <c r="D3" s="17" t="n">
        <v>46043</v>
      </c>
      <c r="E3" s="18" t="n">
        <v>968</v>
      </c>
      <c r="F3" s="27" t="n">
        <v>4</v>
      </c>
      <c r="G3" s="23" t="s">
        <v>44</v>
      </c>
      <c r="H3" s="18" t="n">
        <f aca="false">IFERROR(xlookup(B3,liveprices!$a:$a,liveprices!$d:$d),863)</f>
        <v>863</v>
      </c>
      <c r="I3" s="21" t="n">
        <v>-0.108</v>
      </c>
      <c r="J3" s="21" t="n">
        <f aca="false">IF(E3=0,"",(H3-E3)/E3)</f>
        <v>-0.108471074380165</v>
      </c>
      <c r="K3" s="16"/>
    </row>
    <row r="4" customFormat="false" ht="15" hidden="false" customHeight="false" outlineLevel="0" collapsed="false">
      <c r="A4" s="9" t="n">
        <v>3</v>
      </c>
      <c r="B4" s="6" t="s">
        <v>92</v>
      </c>
      <c r="C4" s="6" t="s">
        <v>93</v>
      </c>
      <c r="D4" s="10" t="n">
        <v>46038</v>
      </c>
      <c r="E4" s="11" t="n">
        <v>162</v>
      </c>
      <c r="F4" s="26" t="n">
        <v>3</v>
      </c>
      <c r="G4" s="22" t="s">
        <v>44</v>
      </c>
      <c r="H4" s="11" t="n">
        <f aca="false">IFERROR(xlookup(B4,liveprices!$a:$a,liveprices!$d:$d),156)</f>
        <v>156</v>
      </c>
      <c r="I4" s="14" t="n">
        <v>-0.037</v>
      </c>
      <c r="J4" s="14" t="n">
        <f aca="false">IF(E4=0,"",(H4-E4)/E4)</f>
        <v>-0.037037037037037</v>
      </c>
      <c r="K4" s="6"/>
    </row>
    <row r="5" customFormat="false" ht="15" hidden="false" customHeight="false" outlineLevel="0" collapsed="false">
      <c r="A5" s="15" t="n">
        <v>4</v>
      </c>
      <c r="B5" s="16" t="s">
        <v>94</v>
      </c>
      <c r="C5" s="16" t="s">
        <v>46</v>
      </c>
      <c r="D5" s="17" t="n">
        <v>46034</v>
      </c>
      <c r="E5" s="18" t="n">
        <v>295</v>
      </c>
      <c r="F5" s="27" t="n">
        <v>4</v>
      </c>
      <c r="G5" s="23" t="s">
        <v>44</v>
      </c>
      <c r="H5" s="18" t="n">
        <f aca="false">IFERROR(xlookup(B5,liveprices!$a:$a,liveprices!$d:$d),329)</f>
        <v>329</v>
      </c>
      <c r="I5" s="21" t="n">
        <v>0.115</v>
      </c>
      <c r="J5" s="21" t="n">
        <f aca="false">IF(E5=0,"",(H5-E5)/E5)</f>
        <v>0.115254237288136</v>
      </c>
      <c r="K5" s="16"/>
    </row>
    <row r="6" customFormat="false" ht="15" hidden="false" customHeight="false" outlineLevel="0" collapsed="false">
      <c r="A6" s="9" t="n">
        <v>5</v>
      </c>
      <c r="B6" s="6" t="s">
        <v>95</v>
      </c>
      <c r="C6" s="6" t="s">
        <v>96</v>
      </c>
      <c r="D6" s="10" t="n">
        <v>46003</v>
      </c>
      <c r="E6" s="11" t="n">
        <v>160</v>
      </c>
      <c r="F6" s="26" t="n">
        <v>3</v>
      </c>
      <c r="G6" s="22" t="s">
        <v>44</v>
      </c>
      <c r="H6" s="11" t="n">
        <f aca="false">IFERROR(xlookup(B6,liveprices!$a:$a,liveprices!$d:$d),207)</f>
        <v>207</v>
      </c>
      <c r="I6" s="14" t="n">
        <v>0.293</v>
      </c>
      <c r="J6" s="14" t="n">
        <f aca="false">IF(E6=0,"",(H6-E6)/E6)</f>
        <v>0.29375</v>
      </c>
      <c r="K6" s="6"/>
    </row>
    <row r="7" customFormat="false" ht="15" hidden="false" customHeight="false" outlineLevel="0" collapsed="false">
      <c r="A7" s="15" t="n">
        <v>6</v>
      </c>
      <c r="B7" s="16" t="s">
        <v>97</v>
      </c>
      <c r="C7" s="16" t="s">
        <v>98</v>
      </c>
      <c r="D7" s="17" t="n">
        <v>45999</v>
      </c>
      <c r="E7" s="18" t="n">
        <v>515</v>
      </c>
      <c r="F7" s="27" t="n">
        <v>3</v>
      </c>
      <c r="G7" s="23" t="s">
        <v>44</v>
      </c>
      <c r="H7" s="18" t="n">
        <f aca="false">IFERROR(xlookup(B7,liveprices!$a:$a,liveprices!$d:$d),601)</f>
        <v>601</v>
      </c>
      <c r="I7" s="21" t="n">
        <v>0.167</v>
      </c>
      <c r="J7" s="21" t="n">
        <f aca="false">IF(E7=0,"",(H7-E7)/E7)</f>
        <v>0.166990291262136</v>
      </c>
      <c r="K7" s="16"/>
    </row>
    <row r="8" customFormat="false" ht="15" hidden="false" customHeight="false" outlineLevel="0" collapsed="false">
      <c r="A8" s="9" t="n">
        <v>7</v>
      </c>
      <c r="B8" s="6" t="s">
        <v>99</v>
      </c>
      <c r="C8" s="6" t="s">
        <v>74</v>
      </c>
      <c r="D8" s="10" t="n">
        <v>45950</v>
      </c>
      <c r="E8" s="11" t="n">
        <v>395.8</v>
      </c>
      <c r="F8" s="26" t="n">
        <v>3</v>
      </c>
      <c r="G8" s="22" t="s">
        <v>44</v>
      </c>
      <c r="H8" s="11" t="n">
        <f aca="false">IFERROR(xlookup(B8,liveprices!$a:$a,liveprices!$d:$d),430)</f>
        <v>430</v>
      </c>
      <c r="I8" s="14" t="n">
        <v>0.088</v>
      </c>
      <c r="J8" s="14" t="n">
        <f aca="false">IF(E8=0,"",(H8-E8)/E8)</f>
        <v>0.0864072764022233</v>
      </c>
      <c r="K8" s="6"/>
    </row>
    <row r="9" customFormat="false" ht="15" hidden="false" customHeight="false" outlineLevel="0" collapsed="false">
      <c r="A9" s="15" t="n">
        <v>8</v>
      </c>
      <c r="B9" s="16" t="s">
        <v>100</v>
      </c>
      <c r="C9" s="16" t="s">
        <v>101</v>
      </c>
      <c r="D9" s="17" t="n">
        <v>45944</v>
      </c>
      <c r="E9" s="18" t="n">
        <v>617</v>
      </c>
      <c r="F9" s="27" t="n">
        <v>3</v>
      </c>
      <c r="G9" s="23" t="s">
        <v>44</v>
      </c>
      <c r="H9" s="18" t="n">
        <f aca="false">IFERROR(xlookup(B9,liveprices!$a:$a,liveprices!$d:$d),770)</f>
        <v>770</v>
      </c>
      <c r="I9" s="21" t="n">
        <v>0.248</v>
      </c>
      <c r="J9" s="21" t="n">
        <f aca="false">IF(E9=0,"",(H9-E9)/E9)</f>
        <v>0.247974068071313</v>
      </c>
      <c r="K9" s="16"/>
    </row>
    <row r="10" customFormat="false" ht="15" hidden="false" customHeight="false" outlineLevel="0" collapsed="false">
      <c r="A10" s="9" t="n">
        <v>9</v>
      </c>
      <c r="B10" s="6" t="s">
        <v>102</v>
      </c>
      <c r="C10" s="6" t="s">
        <v>68</v>
      </c>
      <c r="D10" s="10" t="n">
        <v>45943</v>
      </c>
      <c r="E10" s="11" t="n">
        <v>465</v>
      </c>
      <c r="F10" s="26" t="n">
        <v>3</v>
      </c>
      <c r="G10" s="22" t="s">
        <v>44</v>
      </c>
      <c r="H10" s="11" t="n">
        <f aca="false">IFERROR(xlookup(B10,liveprices!$a:$a,liveprices!$d:$d),409)</f>
        <v>409</v>
      </c>
      <c r="I10" s="14" t="n">
        <v>-0.12</v>
      </c>
      <c r="J10" s="14" t="n">
        <f aca="false">IF(E10=0,"",(H10-E10)/E10)</f>
        <v>-0.120430107526882</v>
      </c>
      <c r="K10" s="6"/>
    </row>
    <row r="11" customFormat="false" ht="15" hidden="false" customHeight="false" outlineLevel="0" collapsed="false">
      <c r="A11" s="15" t="n">
        <v>10</v>
      </c>
      <c r="B11" s="16" t="s">
        <v>103</v>
      </c>
      <c r="C11" s="16" t="s">
        <v>70</v>
      </c>
      <c r="D11" s="17" t="n">
        <v>45943</v>
      </c>
      <c r="E11" s="18" t="n">
        <v>87</v>
      </c>
      <c r="F11" s="27" t="n">
        <v>3</v>
      </c>
      <c r="G11" s="23" t="s">
        <v>44</v>
      </c>
      <c r="H11" s="18" t="n">
        <f aca="false">IFERROR(xlookup(B11,liveprices!$a:$a,liveprices!$d:$d),57)</f>
        <v>57</v>
      </c>
      <c r="I11" s="21" t="n">
        <v>-0.344</v>
      </c>
      <c r="J11" s="21" t="n">
        <f aca="false">IF(E11=0,"",(H11-E11)/E11)</f>
        <v>-0.344827586206897</v>
      </c>
      <c r="K11" s="16"/>
    </row>
    <row r="12" customFormat="false" ht="15" hidden="false" customHeight="false" outlineLevel="0" collapsed="false">
      <c r="A12" s="9" t="n">
        <v>11</v>
      </c>
      <c r="B12" s="6" t="s">
        <v>104</v>
      </c>
      <c r="C12" s="6" t="s">
        <v>37</v>
      </c>
      <c r="D12" s="10" t="n">
        <v>45908</v>
      </c>
      <c r="E12" s="11" t="n">
        <v>897</v>
      </c>
      <c r="F12" s="26" t="n">
        <v>4</v>
      </c>
      <c r="G12" s="22" t="s">
        <v>44</v>
      </c>
      <c r="H12" s="11" t="n">
        <f aca="false">IFERROR(xlookup(B12,liveprices!$a:$a,liveprices!$d:$d),866)</f>
        <v>866</v>
      </c>
      <c r="I12" s="14" t="n">
        <v>-0.034</v>
      </c>
      <c r="J12" s="14" t="n">
        <f aca="false">IF(E12=0,"",(H12-E12)/E12)</f>
        <v>-0.0345596432552954</v>
      </c>
      <c r="K12" s="6"/>
    </row>
    <row r="13" customFormat="false" ht="15" hidden="false" customHeight="false" outlineLevel="0" collapsed="false">
      <c r="A13" s="15" t="n">
        <v>12</v>
      </c>
      <c r="B13" s="16" t="s">
        <v>105</v>
      </c>
      <c r="C13" s="16" t="s">
        <v>106</v>
      </c>
      <c r="D13" s="17" t="n">
        <v>45895</v>
      </c>
      <c r="E13" s="18" t="n">
        <v>170</v>
      </c>
      <c r="F13" s="27" t="n">
        <v>3</v>
      </c>
      <c r="G13" s="23" t="s">
        <v>44</v>
      </c>
      <c r="H13" s="18" t="n">
        <f aca="false">IFERROR(xlookup(B13,liveprices!$a:$a,liveprices!$d:$d),106)</f>
        <v>106</v>
      </c>
      <c r="I13" s="21" t="n">
        <v>-0.376</v>
      </c>
      <c r="J13" s="21" t="n">
        <f aca="false">IF(E13=0,"",(H13-E13)/E13)</f>
        <v>-0.376470588235294</v>
      </c>
      <c r="K13" s="16"/>
    </row>
    <row r="14" customFormat="false" ht="15" hidden="false" customHeight="false" outlineLevel="0" collapsed="false">
      <c r="A14" s="9" t="n">
        <v>13</v>
      </c>
      <c r="B14" s="6" t="s">
        <v>107</v>
      </c>
      <c r="C14" s="6" t="s">
        <v>106</v>
      </c>
      <c r="D14" s="10" t="n">
        <v>45895</v>
      </c>
      <c r="E14" s="11" t="n">
        <v>440</v>
      </c>
      <c r="F14" s="26" t="n">
        <v>4</v>
      </c>
      <c r="G14" s="22" t="s">
        <v>44</v>
      </c>
      <c r="H14" s="11" t="n">
        <f aca="false">IFERROR(xlookup(B14,liveprices!$a:$a,liveprices!$d:$d),245)</f>
        <v>245</v>
      </c>
      <c r="I14" s="14" t="n">
        <v>-0.443</v>
      </c>
      <c r="J14" s="14" t="n">
        <f aca="false">IF(E14=0,"",(H14-E14)/E14)</f>
        <v>-0.443181818181818</v>
      </c>
      <c r="K14" s="6"/>
    </row>
  </sheetData>
  <autoFilter ref="A1:K14"/>
  <conditionalFormatting sqref="I2:I14">
    <cfRule type="cellIs" priority="2" operator="greaterThan" aboveAverage="0" equalAverage="0" bottom="0" percent="0" rank="0" text="" dxfId="6">
      <formula>0</formula>
    </cfRule>
    <cfRule type="cellIs" priority="3" operator="lessThan" aboveAverage="0" equalAverage="0" bottom="0" percent="0" rank="0" text="" dxfId="7">
      <formula>0</formula>
    </cfRule>
  </conditionalFormatting>
  <conditionalFormatting sqref="J2:J14">
    <cfRule type="cellIs" priority="4" operator="greaterThan" aboveAverage="0" equalAverage="0" bottom="0" percent="0" rank="0" text="" dxfId="6">
      <formula>0</formula>
    </cfRule>
    <cfRule type="cellIs" priority="5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6"/>
    <col collapsed="false" customWidth="true" hidden="false" outlineLevel="0" max="11" min="10" style="0" width="12"/>
    <col collapsed="false" customWidth="true" hidden="false" outlineLevel="0" max="12" min="12" style="0" width="9"/>
    <col collapsed="false" customWidth="true" hidden="false" outlineLevel="0" max="13" min="13" style="0" width="14"/>
    <col collapsed="false" customWidth="true" hidden="false" outlineLevel="0" max="14" min="14" style="0" width="11"/>
    <col collapsed="false" customWidth="true" hidden="false" outlineLevel="0" max="15" min="15" style="0" width="30"/>
  </cols>
  <sheetData>
    <row r="1" customFormat="false" ht="23.85" hidden="false" customHeight="false" outlineLevel="0" collapsed="false">
      <c r="A1" s="4" t="s">
        <v>4</v>
      </c>
      <c r="B1" s="4" t="s">
        <v>26</v>
      </c>
      <c r="C1" s="4" t="s">
        <v>27</v>
      </c>
      <c r="D1" s="4" t="s">
        <v>108</v>
      </c>
      <c r="E1" s="4" t="s">
        <v>109</v>
      </c>
      <c r="F1" s="4" t="s">
        <v>28</v>
      </c>
      <c r="G1" s="4" t="s">
        <v>110</v>
      </c>
      <c r="H1" s="4" t="s">
        <v>111</v>
      </c>
      <c r="I1" s="4" t="s">
        <v>33</v>
      </c>
      <c r="J1" s="4" t="s">
        <v>34</v>
      </c>
      <c r="K1" s="4" t="s">
        <v>112</v>
      </c>
      <c r="L1" s="4" t="s">
        <v>31</v>
      </c>
      <c r="M1" s="4" t="s">
        <v>113</v>
      </c>
      <c r="N1" s="4" t="s">
        <v>114</v>
      </c>
      <c r="O1" s="4" t="s">
        <v>35</v>
      </c>
    </row>
    <row r="2" customFormat="false" ht="15" hidden="false" customHeight="false" outlineLevel="0" collapsed="false">
      <c r="A2" s="28" t="s">
        <v>5</v>
      </c>
      <c r="B2" s="6" t="s">
        <v>36</v>
      </c>
      <c r="C2" s="6" t="s">
        <v>37</v>
      </c>
      <c r="D2" s="6" t="s">
        <v>115</v>
      </c>
      <c r="E2" s="6"/>
      <c r="F2" s="10" t="n">
        <v>46169</v>
      </c>
      <c r="G2" s="11" t="n">
        <v>1125</v>
      </c>
      <c r="H2" s="11" t="n">
        <f aca="false">IFERROR(xlookup(B2,liveprices!$a:$a,liveprices!$d:$d),1125)</f>
        <v>1125</v>
      </c>
      <c r="I2" s="14" t="n">
        <v>-0.134</v>
      </c>
      <c r="J2" s="14" t="n">
        <f aca="false">IF(G2=0,"",(H2-G2)/G2)</f>
        <v>0</v>
      </c>
      <c r="K2" s="9" t="s">
        <v>116</v>
      </c>
      <c r="L2" s="13" t="s">
        <v>38</v>
      </c>
      <c r="M2" s="6"/>
      <c r="N2" s="6"/>
      <c r="O2" s="6" t="s">
        <v>39</v>
      </c>
    </row>
    <row r="3" customFormat="false" ht="15" hidden="false" customHeight="false" outlineLevel="0" collapsed="false">
      <c r="A3" s="29" t="s">
        <v>5</v>
      </c>
      <c r="B3" s="16" t="s">
        <v>40</v>
      </c>
      <c r="C3" s="16" t="s">
        <v>41</v>
      </c>
      <c r="D3" s="16" t="s">
        <v>117</v>
      </c>
      <c r="E3" s="16"/>
      <c r="F3" s="17" t="n">
        <v>46169</v>
      </c>
      <c r="G3" s="18" t="n">
        <v>362</v>
      </c>
      <c r="H3" s="18" t="n">
        <f aca="false">IFERROR(xlookup(B3,liveprices!$a:$a,liveprices!$d:$d),362)</f>
        <v>362</v>
      </c>
      <c r="I3" s="21" t="n">
        <v>-0.368</v>
      </c>
      <c r="J3" s="21" t="n">
        <f aca="false">IF(G3=0,"",(H3-G3)/G3)</f>
        <v>0</v>
      </c>
      <c r="K3" s="15" t="s">
        <v>118</v>
      </c>
      <c r="L3" s="20" t="s">
        <v>38</v>
      </c>
      <c r="M3" s="16"/>
      <c r="N3" s="16"/>
      <c r="O3" s="16" t="s">
        <v>39</v>
      </c>
    </row>
    <row r="4" customFormat="false" ht="15" hidden="false" customHeight="false" outlineLevel="0" collapsed="false">
      <c r="A4" s="28" t="s">
        <v>5</v>
      </c>
      <c r="B4" s="6" t="s">
        <v>42</v>
      </c>
      <c r="C4" s="6" t="s">
        <v>43</v>
      </c>
      <c r="D4" s="6" t="s">
        <v>119</v>
      </c>
      <c r="E4" s="6"/>
      <c r="F4" s="10" t="n">
        <v>46119</v>
      </c>
      <c r="G4" s="11" t="n">
        <v>379</v>
      </c>
      <c r="H4" s="11" t="n">
        <f aca="false">IFERROR(xlookup(B4,liveprices!$a:$a,liveprices!$d:$d),388)</f>
        <v>388</v>
      </c>
      <c r="I4" s="14" t="n">
        <v>0.023</v>
      </c>
      <c r="J4" s="14" t="n">
        <f aca="false">IF(G4=0,"",(H4-G4)/G4)</f>
        <v>0.0237467018469657</v>
      </c>
      <c r="K4" s="9" t="s">
        <v>118</v>
      </c>
      <c r="L4" s="22" t="s">
        <v>44</v>
      </c>
      <c r="M4" s="6"/>
      <c r="N4" s="6"/>
      <c r="O4" s="6"/>
    </row>
    <row r="5" customFormat="false" ht="15" hidden="false" customHeight="false" outlineLevel="0" collapsed="false">
      <c r="A5" s="29" t="s">
        <v>5</v>
      </c>
      <c r="B5" s="16" t="s">
        <v>45</v>
      </c>
      <c r="C5" s="16" t="s">
        <v>46</v>
      </c>
      <c r="D5" s="16" t="s">
        <v>120</v>
      </c>
      <c r="E5" s="16"/>
      <c r="F5" s="17" t="n">
        <v>46083</v>
      </c>
      <c r="G5" s="18" t="n">
        <v>666</v>
      </c>
      <c r="H5" s="18" t="n">
        <f aca="false">IFERROR(xlookup(B5,liveprices!$a:$a,liveprices!$d:$d),822)</f>
        <v>822</v>
      </c>
      <c r="I5" s="21" t="n">
        <v>0.235</v>
      </c>
      <c r="J5" s="21" t="n">
        <f aca="false">IF(G5=0,"",(H5-G5)/G5)</f>
        <v>0.234234234234234</v>
      </c>
      <c r="K5" s="15" t="s">
        <v>116</v>
      </c>
      <c r="L5" s="23" t="s">
        <v>44</v>
      </c>
      <c r="M5" s="16"/>
      <c r="N5" s="16"/>
      <c r="O5" s="16"/>
    </row>
    <row r="6" customFormat="false" ht="15" hidden="false" customHeight="false" outlineLevel="0" collapsed="false">
      <c r="A6" s="28" t="s">
        <v>5</v>
      </c>
      <c r="B6" s="6" t="s">
        <v>47</v>
      </c>
      <c r="C6" s="6" t="s">
        <v>48</v>
      </c>
      <c r="D6" s="6" t="s">
        <v>121</v>
      </c>
      <c r="E6" s="6"/>
      <c r="F6" s="10" t="n">
        <v>46083</v>
      </c>
      <c r="G6" s="11" t="n">
        <v>2685</v>
      </c>
      <c r="H6" s="11" t="n">
        <f aca="false">IFERROR(xlookup(B6,liveprices!$a:$a,liveprices!$d:$d),2880)</f>
        <v>2880</v>
      </c>
      <c r="I6" s="14" t="n">
        <v>0.072</v>
      </c>
      <c r="J6" s="14" t="n">
        <f aca="false">IF(G6=0,"",(H6-G6)/G6)</f>
        <v>0.0726256983240224</v>
      </c>
      <c r="K6" s="9" t="s">
        <v>122</v>
      </c>
      <c r="L6" s="22" t="s">
        <v>44</v>
      </c>
      <c r="M6" s="6"/>
      <c r="N6" s="6"/>
      <c r="O6" s="6"/>
    </row>
    <row r="7" customFormat="false" ht="15" hidden="false" customHeight="false" outlineLevel="0" collapsed="false">
      <c r="A7" s="29" t="s">
        <v>5</v>
      </c>
      <c r="B7" s="16" t="s">
        <v>49</v>
      </c>
      <c r="C7" s="16" t="s">
        <v>50</v>
      </c>
      <c r="D7" s="16" t="s">
        <v>49</v>
      </c>
      <c r="E7" s="16"/>
      <c r="F7" s="17" t="n">
        <v>46034</v>
      </c>
      <c r="G7" s="18" t="n">
        <v>1635</v>
      </c>
      <c r="H7" s="18" t="n">
        <f aca="false">IFERROR(xlookup(B7,liveprices!$a:$a,liveprices!$d:$d),1698)</f>
        <v>1698</v>
      </c>
      <c r="I7" s="21" t="n">
        <v>0.038</v>
      </c>
      <c r="J7" s="21" t="n">
        <f aca="false">IF(G7=0,"",(H7-G7)/G7)</f>
        <v>0.0385321100917431</v>
      </c>
      <c r="K7" s="15" t="s">
        <v>118</v>
      </c>
      <c r="L7" s="23" t="s">
        <v>44</v>
      </c>
      <c r="M7" s="16"/>
      <c r="N7" s="16"/>
      <c r="O7" s="16"/>
    </row>
    <row r="8" customFormat="false" ht="15" hidden="false" customHeight="false" outlineLevel="0" collapsed="false">
      <c r="A8" s="28" t="s">
        <v>5</v>
      </c>
      <c r="B8" s="6" t="s">
        <v>51</v>
      </c>
      <c r="C8" s="6" t="s">
        <v>52</v>
      </c>
      <c r="D8" s="6" t="s">
        <v>123</v>
      </c>
      <c r="E8" s="6"/>
      <c r="F8" s="10" t="n">
        <v>46034</v>
      </c>
      <c r="G8" s="11" t="n">
        <v>1862</v>
      </c>
      <c r="H8" s="11" t="n">
        <f aca="false">IFERROR(xlookup(B8,liveprices!$a:$a,liveprices!$d:$d),1799)</f>
        <v>1799</v>
      </c>
      <c r="I8" s="14" t="n">
        <v>-0.033</v>
      </c>
      <c r="J8" s="14" t="n">
        <f aca="false">IF(G8=0,"",(H8-G8)/G8)</f>
        <v>-0.0338345864661654</v>
      </c>
      <c r="K8" s="9" t="s">
        <v>118</v>
      </c>
      <c r="L8" s="22" t="s">
        <v>44</v>
      </c>
      <c r="M8" s="6"/>
      <c r="N8" s="6"/>
      <c r="O8" s="6"/>
    </row>
    <row r="9" customFormat="false" ht="15" hidden="false" customHeight="false" outlineLevel="0" collapsed="false">
      <c r="A9" s="29" t="s">
        <v>5</v>
      </c>
      <c r="B9" s="16" t="s">
        <v>53</v>
      </c>
      <c r="C9" s="16" t="s">
        <v>50</v>
      </c>
      <c r="D9" s="16" t="s">
        <v>124</v>
      </c>
      <c r="E9" s="16"/>
      <c r="F9" s="17" t="n">
        <v>46034</v>
      </c>
      <c r="G9" s="18" t="n">
        <v>19000</v>
      </c>
      <c r="H9" s="18" t="n">
        <f aca="false">IFERROR(xlookup(B9,liveprices!$a:$a,liveprices!$d:$d),20913)</f>
        <v>20913</v>
      </c>
      <c r="I9" s="21" t="n">
        <v>0.1</v>
      </c>
      <c r="J9" s="21" t="n">
        <f aca="false">IF(G9=0,"",(H9-G9)/G9)</f>
        <v>0.100684210526316</v>
      </c>
      <c r="K9" s="15" t="s">
        <v>118</v>
      </c>
      <c r="L9" s="23" t="s">
        <v>44</v>
      </c>
      <c r="M9" s="16"/>
      <c r="N9" s="16"/>
      <c r="O9" s="16"/>
    </row>
    <row r="10" customFormat="false" ht="15" hidden="false" customHeight="false" outlineLevel="0" collapsed="false">
      <c r="A10" s="28" t="s">
        <v>5</v>
      </c>
      <c r="B10" s="6" t="s">
        <v>54</v>
      </c>
      <c r="C10" s="6" t="s">
        <v>55</v>
      </c>
      <c r="D10" s="6" t="s">
        <v>125</v>
      </c>
      <c r="E10" s="6"/>
      <c r="F10" s="10" t="n">
        <v>46034</v>
      </c>
      <c r="G10" s="11" t="n">
        <v>189.5</v>
      </c>
      <c r="H10" s="11" t="n">
        <f aca="false">IFERROR(xlookup(B10,liveprices!$a:$a,liveprices!$d:$d),163.2)</f>
        <v>163.2</v>
      </c>
      <c r="I10" s="14" t="n">
        <v>-0.138</v>
      </c>
      <c r="J10" s="14" t="n">
        <f aca="false">IF(G10=0,"",(H10-G10)/G10)</f>
        <v>-0.138786279683377</v>
      </c>
      <c r="K10" s="9" t="s">
        <v>126</v>
      </c>
      <c r="L10" s="22" t="s">
        <v>44</v>
      </c>
      <c r="M10" s="6"/>
      <c r="N10" s="6"/>
      <c r="O10" s="6"/>
    </row>
    <row r="11" customFormat="false" ht="15" hidden="false" customHeight="false" outlineLevel="0" collapsed="false">
      <c r="A11" s="29" t="s">
        <v>5</v>
      </c>
      <c r="B11" s="16" t="s">
        <v>56</v>
      </c>
      <c r="C11" s="16" t="s">
        <v>57</v>
      </c>
      <c r="D11" s="16" t="s">
        <v>127</v>
      </c>
      <c r="E11" s="16"/>
      <c r="F11" s="17" t="n">
        <v>46030</v>
      </c>
      <c r="G11" s="18" t="n">
        <v>1736</v>
      </c>
      <c r="H11" s="18" t="n">
        <f aca="false">IFERROR(xlookup(B11,liveprices!$a:$a,liveprices!$d:$d),1589)</f>
        <v>1589</v>
      </c>
      <c r="I11" s="21" t="n">
        <v>-0.084</v>
      </c>
      <c r="J11" s="21" t="n">
        <f aca="false">IF(G11=0,"",(H11-G11)/G11)</f>
        <v>-0.0846774193548387</v>
      </c>
      <c r="K11" s="15" t="s">
        <v>118</v>
      </c>
      <c r="L11" s="23" t="s">
        <v>44</v>
      </c>
      <c r="M11" s="16"/>
      <c r="N11" s="16"/>
      <c r="O11" s="16"/>
    </row>
    <row r="12" customFormat="false" ht="15" hidden="false" customHeight="false" outlineLevel="0" collapsed="false">
      <c r="A12" s="28" t="s">
        <v>5</v>
      </c>
      <c r="B12" s="6" t="s">
        <v>58</v>
      </c>
      <c r="C12" s="6" t="s">
        <v>59</v>
      </c>
      <c r="D12" s="6" t="s">
        <v>128</v>
      </c>
      <c r="E12" s="6"/>
      <c r="F12" s="10" t="n">
        <v>46030</v>
      </c>
      <c r="G12" s="11" t="n">
        <v>335</v>
      </c>
      <c r="H12" s="11" t="n">
        <f aca="false">IFERROR(xlookup(B12,liveprices!$a:$a,liveprices!$d:$d),336)</f>
        <v>336</v>
      </c>
      <c r="I12" s="14" t="n">
        <v>0</v>
      </c>
      <c r="J12" s="14" t="n">
        <f aca="false">IF(G12=0,"",(H12-G12)/G12)</f>
        <v>0.00298507462686567</v>
      </c>
      <c r="K12" s="9" t="s">
        <v>118</v>
      </c>
      <c r="L12" s="22" t="s">
        <v>44</v>
      </c>
      <c r="M12" s="6"/>
      <c r="N12" s="6"/>
      <c r="O12" s="6"/>
    </row>
    <row r="13" customFormat="false" ht="15" hidden="false" customHeight="false" outlineLevel="0" collapsed="false">
      <c r="A13" s="29" t="s">
        <v>5</v>
      </c>
      <c r="B13" s="16" t="s">
        <v>60</v>
      </c>
      <c r="C13" s="16" t="s">
        <v>61</v>
      </c>
      <c r="D13" s="16" t="s">
        <v>129</v>
      </c>
      <c r="E13" s="16"/>
      <c r="F13" s="17" t="n">
        <v>46030</v>
      </c>
      <c r="G13" s="18" t="n">
        <v>159</v>
      </c>
      <c r="H13" s="18" t="n">
        <f aca="false">IFERROR(xlookup(B13,liveprices!$a:$a,liveprices!$d:$d),151)</f>
        <v>151</v>
      </c>
      <c r="I13" s="21" t="n">
        <v>-0.04</v>
      </c>
      <c r="J13" s="21" t="n">
        <f aca="false">IF(G13=0,"",(H13-G13)/G13)</f>
        <v>-0.050314465408805</v>
      </c>
      <c r="K13" s="15" t="s">
        <v>118</v>
      </c>
      <c r="L13" s="23" t="s">
        <v>44</v>
      </c>
      <c r="M13" s="16"/>
      <c r="N13" s="16"/>
      <c r="O13" s="16"/>
    </row>
    <row r="14" customFormat="false" ht="15" hidden="false" customHeight="false" outlineLevel="0" collapsed="false">
      <c r="A14" s="28" t="s">
        <v>5</v>
      </c>
      <c r="B14" s="6" t="s">
        <v>62</v>
      </c>
      <c r="C14" s="6" t="s">
        <v>63</v>
      </c>
      <c r="D14" s="6" t="s">
        <v>130</v>
      </c>
      <c r="E14" s="6"/>
      <c r="F14" s="10" t="n">
        <v>46021</v>
      </c>
      <c r="G14" s="11" t="n">
        <v>315</v>
      </c>
      <c r="H14" s="11" t="n">
        <f aca="false">IFERROR(xlookup(B14,liveprices!$a:$a,liveprices!$d:$d),260)</f>
        <v>260</v>
      </c>
      <c r="I14" s="14" t="n">
        <v>-0.17</v>
      </c>
      <c r="J14" s="14" t="n">
        <f aca="false">IF(G14=0,"",(H14-G14)/G14)</f>
        <v>-0.174603174603175</v>
      </c>
      <c r="K14" s="9" t="s">
        <v>118</v>
      </c>
      <c r="L14" s="22" t="s">
        <v>44</v>
      </c>
      <c r="M14" s="6"/>
      <c r="N14" s="6"/>
      <c r="O14" s="6"/>
    </row>
    <row r="15" customFormat="false" ht="15" hidden="false" customHeight="false" outlineLevel="0" collapsed="false">
      <c r="A15" s="29" t="s">
        <v>5</v>
      </c>
      <c r="B15" s="16" t="s">
        <v>64</v>
      </c>
      <c r="C15" s="16" t="s">
        <v>65</v>
      </c>
      <c r="D15" s="16" t="s">
        <v>131</v>
      </c>
      <c r="E15" s="16"/>
      <c r="F15" s="17" t="n">
        <v>45986</v>
      </c>
      <c r="G15" s="18" t="n">
        <v>96.4</v>
      </c>
      <c r="H15" s="18" t="n">
        <f aca="false">IFERROR(xlookup(B15,liveprices!$a:$a,liveprices!$d:$d),106)</f>
        <v>106</v>
      </c>
      <c r="I15" s="21" t="n">
        <v>0.1</v>
      </c>
      <c r="J15" s="21" t="n">
        <f aca="false">IF(G15=0,"",(H15-G15)/G15)</f>
        <v>0.0995850622406638</v>
      </c>
      <c r="K15" s="15" t="s">
        <v>118</v>
      </c>
      <c r="L15" s="23" t="s">
        <v>44</v>
      </c>
      <c r="M15" s="16"/>
      <c r="N15" s="16"/>
      <c r="O15" s="16"/>
    </row>
    <row r="16" customFormat="false" ht="15" hidden="false" customHeight="false" outlineLevel="0" collapsed="false">
      <c r="A16" s="28" t="s">
        <v>5</v>
      </c>
      <c r="B16" s="6" t="s">
        <v>66</v>
      </c>
      <c r="C16" s="6" t="s">
        <v>37</v>
      </c>
      <c r="D16" s="6" t="s">
        <v>132</v>
      </c>
      <c r="E16" s="6"/>
      <c r="F16" s="10" t="n">
        <v>45923</v>
      </c>
      <c r="G16" s="11" t="n">
        <v>1759</v>
      </c>
      <c r="H16" s="11" t="n">
        <f aca="false">IFERROR(xlookup(B16,liveprices!$a:$a,liveprices!$d:$d),2406)</f>
        <v>2406</v>
      </c>
      <c r="I16" s="14" t="n">
        <v>0.37</v>
      </c>
      <c r="J16" s="14" t="n">
        <f aca="false">IF(G16=0,"",(H16-G16)/G16)</f>
        <v>0.367822626492325</v>
      </c>
      <c r="K16" s="9" t="s">
        <v>118</v>
      </c>
      <c r="L16" s="22" t="s">
        <v>44</v>
      </c>
      <c r="M16" s="6"/>
      <c r="N16" s="6"/>
      <c r="O16" s="6"/>
    </row>
    <row r="17" customFormat="false" ht="15" hidden="false" customHeight="false" outlineLevel="0" collapsed="false">
      <c r="A17" s="29" t="s">
        <v>5</v>
      </c>
      <c r="B17" s="16" t="s">
        <v>67</v>
      </c>
      <c r="C17" s="16" t="s">
        <v>68</v>
      </c>
      <c r="D17" s="16" t="s">
        <v>133</v>
      </c>
      <c r="E17" s="16"/>
      <c r="F17" s="17" t="n">
        <v>45911</v>
      </c>
      <c r="G17" s="18" t="n">
        <v>179</v>
      </c>
      <c r="H17" s="18" t="n">
        <f aca="false">IFERROR(xlookup(B17,liveprices!$a:$a,liveprices!$d:$d),115)</f>
        <v>115</v>
      </c>
      <c r="I17" s="21" t="n">
        <v>-0.35</v>
      </c>
      <c r="J17" s="21" t="n">
        <f aca="false">IF(G17=0,"",(H17-G17)/G17)</f>
        <v>-0.357541899441341</v>
      </c>
      <c r="K17" s="15" t="s">
        <v>118</v>
      </c>
      <c r="L17" s="23" t="s">
        <v>44</v>
      </c>
      <c r="M17" s="16"/>
      <c r="N17" s="16"/>
      <c r="O17" s="16"/>
    </row>
    <row r="18" customFormat="false" ht="15" hidden="false" customHeight="false" outlineLevel="0" collapsed="false">
      <c r="A18" s="28" t="s">
        <v>5</v>
      </c>
      <c r="B18" s="6" t="s">
        <v>69</v>
      </c>
      <c r="C18" s="6" t="s">
        <v>70</v>
      </c>
      <c r="D18" s="6" t="s">
        <v>134</v>
      </c>
      <c r="E18" s="6"/>
      <c r="F18" s="10" t="n">
        <v>45911</v>
      </c>
      <c r="G18" s="11" t="n">
        <v>114.5</v>
      </c>
      <c r="H18" s="11" t="n">
        <f aca="false">IFERROR(xlookup(B18,liveprices!$a:$a,liveprices!$d:$d),120)</f>
        <v>120</v>
      </c>
      <c r="I18" s="14" t="n">
        <v>0.048</v>
      </c>
      <c r="J18" s="14" t="n">
        <f aca="false">IF(G18=0,"",(H18-G18)/G18)</f>
        <v>0.0480349344978166</v>
      </c>
      <c r="K18" s="9" t="s">
        <v>116</v>
      </c>
      <c r="L18" s="22" t="s">
        <v>44</v>
      </c>
      <c r="M18" s="6"/>
      <c r="N18" s="6"/>
      <c r="O18" s="6"/>
    </row>
    <row r="19" customFormat="false" ht="15" hidden="false" customHeight="false" outlineLevel="0" collapsed="false">
      <c r="A19" s="29" t="s">
        <v>5</v>
      </c>
      <c r="B19" s="16" t="s">
        <v>71</v>
      </c>
      <c r="C19" s="16" t="s">
        <v>72</v>
      </c>
      <c r="D19" s="16" t="s">
        <v>135</v>
      </c>
      <c r="E19" s="16"/>
      <c r="F19" s="17" t="n">
        <v>45821</v>
      </c>
      <c r="G19" s="18" t="n">
        <v>889</v>
      </c>
      <c r="H19" s="18" t="n">
        <f aca="false">IFERROR(xlookup(B19,liveprices!$a:$a,liveprices!$d:$d),805)</f>
        <v>805</v>
      </c>
      <c r="I19" s="21" t="n">
        <v>-0.09</v>
      </c>
      <c r="J19" s="21" t="n">
        <f aca="false">IF(G19=0,"",(H19-G19)/G19)</f>
        <v>-0.094488188976378</v>
      </c>
      <c r="K19" s="15" t="s">
        <v>116</v>
      </c>
      <c r="L19" s="23" t="s">
        <v>44</v>
      </c>
      <c r="M19" s="16"/>
      <c r="N19" s="16"/>
      <c r="O19" s="16"/>
    </row>
    <row r="20" customFormat="false" ht="15" hidden="false" customHeight="false" outlineLevel="0" collapsed="false">
      <c r="A20" s="28" t="s">
        <v>5</v>
      </c>
      <c r="B20" s="6" t="s">
        <v>73</v>
      </c>
      <c r="C20" s="6" t="s">
        <v>74</v>
      </c>
      <c r="D20" s="6"/>
      <c r="E20" s="6" t="s">
        <v>136</v>
      </c>
      <c r="F20" s="10" t="n">
        <v>45800</v>
      </c>
      <c r="G20" s="11" t="n">
        <v>454</v>
      </c>
      <c r="H20" s="11" t="n">
        <f aca="false">IFERROR(xlookup(B20,liveprices!$a:$a,liveprices!$d:$d),525)</f>
        <v>525</v>
      </c>
      <c r="I20" s="14" t="n">
        <v>0.156</v>
      </c>
      <c r="J20" s="14" t="n">
        <f aca="false">IF(G20=0,"",(H20-G20)/G20)</f>
        <v>0.156387665198238</v>
      </c>
      <c r="K20" s="9" t="s">
        <v>116</v>
      </c>
      <c r="L20" s="22" t="s">
        <v>44</v>
      </c>
      <c r="M20" s="6"/>
      <c r="N20" s="6"/>
      <c r="O20" s="6"/>
    </row>
    <row r="21" customFormat="false" ht="15" hidden="false" customHeight="false" outlineLevel="0" collapsed="false">
      <c r="A21" s="29" t="s">
        <v>5</v>
      </c>
      <c r="B21" s="16" t="s">
        <v>75</v>
      </c>
      <c r="C21" s="16" t="s">
        <v>68</v>
      </c>
      <c r="D21" s="16" t="s">
        <v>137</v>
      </c>
      <c r="E21" s="16"/>
      <c r="F21" s="17" t="n">
        <v>45776</v>
      </c>
      <c r="G21" s="18" t="n">
        <v>637</v>
      </c>
      <c r="H21" s="18" t="n">
        <f aca="false">IFERROR(xlookup(B21,liveprices!$a:$a,liveprices!$d:$d),735)</f>
        <v>735</v>
      </c>
      <c r="I21" s="21" t="n">
        <v>0.16</v>
      </c>
      <c r="J21" s="21" t="n">
        <f aca="false">IF(G21=0,"",(H21-G21)/G21)</f>
        <v>0.153846153846154</v>
      </c>
      <c r="K21" s="15" t="s">
        <v>118</v>
      </c>
      <c r="L21" s="23" t="s">
        <v>44</v>
      </c>
      <c r="M21" s="16"/>
      <c r="N21" s="16"/>
      <c r="O21" s="16"/>
    </row>
    <row r="22" customFormat="false" ht="15" hidden="false" customHeight="false" outlineLevel="0" collapsed="false">
      <c r="A22" s="28" t="s">
        <v>5</v>
      </c>
      <c r="B22" s="6" t="s">
        <v>76</v>
      </c>
      <c r="C22" s="6" t="s">
        <v>46</v>
      </c>
      <c r="D22" s="6" t="s">
        <v>138</v>
      </c>
      <c r="E22" s="6"/>
      <c r="F22" s="10" t="n">
        <v>45770</v>
      </c>
      <c r="G22" s="11" t="n">
        <v>761</v>
      </c>
      <c r="H22" s="11" t="n">
        <f aca="false">IFERROR(xlookup(B22,liveprices!$a:$a,liveprices!$d:$d),1492)</f>
        <v>1492</v>
      </c>
      <c r="I22" s="14" t="n">
        <v>0.96</v>
      </c>
      <c r="J22" s="14" t="n">
        <f aca="false">IF(G22=0,"",(H22-G22)/G22)</f>
        <v>0.960578186596583</v>
      </c>
      <c r="K22" s="9" t="s">
        <v>118</v>
      </c>
      <c r="L22" s="22" t="s">
        <v>44</v>
      </c>
      <c r="M22" s="6"/>
      <c r="N22" s="6"/>
      <c r="O22" s="6"/>
    </row>
    <row r="23" customFormat="false" ht="15" hidden="false" customHeight="false" outlineLevel="0" collapsed="false">
      <c r="A23" s="29" t="s">
        <v>5</v>
      </c>
      <c r="B23" s="16" t="s">
        <v>77</v>
      </c>
      <c r="C23" s="16" t="s">
        <v>78</v>
      </c>
      <c r="D23" s="16" t="s">
        <v>139</v>
      </c>
      <c r="E23" s="16"/>
      <c r="F23" s="17" t="n">
        <v>45736</v>
      </c>
      <c r="G23" s="18" t="n">
        <v>554</v>
      </c>
      <c r="H23" s="18" t="n">
        <f aca="false">IFERROR(xlookup(B23,liveprices!$a:$a,liveprices!$d:$d),1112)</f>
        <v>1112</v>
      </c>
      <c r="I23" s="21" t="n">
        <v>1</v>
      </c>
      <c r="J23" s="21" t="n">
        <f aca="false">IF(G23=0,"",(H23-G23)/G23)</f>
        <v>1.0072202166065</v>
      </c>
      <c r="K23" s="15" t="s">
        <v>118</v>
      </c>
      <c r="L23" s="23" t="s">
        <v>44</v>
      </c>
      <c r="M23" s="16"/>
      <c r="N23" s="16"/>
      <c r="O23" s="16"/>
    </row>
    <row r="24" customFormat="false" ht="15" hidden="false" customHeight="false" outlineLevel="0" collapsed="false">
      <c r="A24" s="28" t="s">
        <v>5</v>
      </c>
      <c r="B24" s="6" t="s">
        <v>79</v>
      </c>
      <c r="C24" s="6" t="s">
        <v>68</v>
      </c>
      <c r="D24" s="6" t="s">
        <v>140</v>
      </c>
      <c r="E24" s="6"/>
      <c r="F24" s="10" t="n">
        <v>45736</v>
      </c>
      <c r="G24" s="11" t="n">
        <v>58.3</v>
      </c>
      <c r="H24" s="11" t="n">
        <f aca="false">IFERROR(xlookup(B24,liveprices!$a:$a,liveprices!$d:$d),65.8)</f>
        <v>65.8</v>
      </c>
      <c r="I24" s="14" t="n">
        <v>0.128</v>
      </c>
      <c r="J24" s="14" t="n">
        <f aca="false">IF(G24=0,"",(H24-G24)/G24)</f>
        <v>0.128644939965695</v>
      </c>
      <c r="K24" s="9" t="s">
        <v>116</v>
      </c>
      <c r="L24" s="22" t="s">
        <v>44</v>
      </c>
      <c r="M24" s="6"/>
      <c r="N24" s="6"/>
      <c r="O24" s="6"/>
    </row>
    <row r="25" customFormat="false" ht="15" hidden="false" customHeight="false" outlineLevel="0" collapsed="false">
      <c r="A25" s="29" t="s">
        <v>5</v>
      </c>
      <c r="B25" s="16" t="s">
        <v>80</v>
      </c>
      <c r="C25" s="16" t="s">
        <v>74</v>
      </c>
      <c r="D25" s="16" t="s">
        <v>141</v>
      </c>
      <c r="E25" s="16"/>
      <c r="F25" s="17" t="n">
        <v>45727</v>
      </c>
      <c r="G25" s="18" t="n">
        <v>689</v>
      </c>
      <c r="H25" s="18" t="n">
        <f aca="false">IFERROR(xlookup(B25,liveprices!$a:$a,liveprices!$d:$d),1148)</f>
        <v>1148</v>
      </c>
      <c r="I25" s="21" t="n">
        <v>0.667</v>
      </c>
      <c r="J25" s="21" t="n">
        <f aca="false">IF(G25=0,"",(H25-G25)/G25)</f>
        <v>0.666182873730044</v>
      </c>
      <c r="K25" s="15" t="s">
        <v>118</v>
      </c>
      <c r="L25" s="23" t="s">
        <v>44</v>
      </c>
      <c r="M25" s="16"/>
      <c r="N25" s="16"/>
      <c r="O25" s="16"/>
    </row>
    <row r="26" customFormat="false" ht="15" hidden="false" customHeight="false" outlineLevel="0" collapsed="false">
      <c r="A26" s="28" t="s">
        <v>5</v>
      </c>
      <c r="B26" s="6" t="s">
        <v>81</v>
      </c>
      <c r="C26" s="6" t="s">
        <v>82</v>
      </c>
      <c r="D26" s="6"/>
      <c r="E26" s="6" t="s">
        <v>142</v>
      </c>
      <c r="F26" s="10" t="n">
        <v>45727</v>
      </c>
      <c r="G26" s="11" t="n">
        <v>521</v>
      </c>
      <c r="H26" s="11" t="n">
        <f aca="false">IFERROR(xlookup(B26,liveprices!$a:$a,liveprices!$d:$d),481)</f>
        <v>481</v>
      </c>
      <c r="I26" s="14" t="n">
        <v>-0.076</v>
      </c>
      <c r="J26" s="14" t="n">
        <f aca="false">IF(G26=0,"",(H26-G26)/G26)</f>
        <v>-0.0767754318618042</v>
      </c>
      <c r="K26" s="9" t="s">
        <v>118</v>
      </c>
      <c r="L26" s="22" t="s">
        <v>44</v>
      </c>
      <c r="M26" s="6"/>
      <c r="N26" s="6"/>
      <c r="O26" s="6"/>
    </row>
    <row r="27" customFormat="false" ht="15" hidden="false" customHeight="false" outlineLevel="0" collapsed="false">
      <c r="A27" s="29" t="s">
        <v>5</v>
      </c>
      <c r="B27" s="16" t="s">
        <v>83</v>
      </c>
      <c r="C27" s="16" t="s">
        <v>84</v>
      </c>
      <c r="D27" s="16" t="s">
        <v>143</v>
      </c>
      <c r="E27" s="16"/>
      <c r="F27" s="17" t="n">
        <v>45726</v>
      </c>
      <c r="G27" s="18" t="n">
        <v>543.6</v>
      </c>
      <c r="H27" s="18" t="n">
        <f aca="false">IFERROR(xlookup(B27,liveprices!$a:$a,liveprices!$d:$d),670)</f>
        <v>670</v>
      </c>
      <c r="I27" s="21" t="n">
        <v>0.232</v>
      </c>
      <c r="J27" s="21" t="n">
        <f aca="false">IF(G27=0,"",(H27-G27)/G27)</f>
        <v>0.23252391464312</v>
      </c>
      <c r="K27" s="15" t="s">
        <v>116</v>
      </c>
      <c r="L27" s="23" t="s">
        <v>44</v>
      </c>
      <c r="M27" s="16"/>
      <c r="N27" s="16"/>
      <c r="O27" s="16"/>
    </row>
    <row r="28" customFormat="false" ht="15" hidden="false" customHeight="false" outlineLevel="0" collapsed="false">
      <c r="A28" s="28" t="s">
        <v>5</v>
      </c>
      <c r="B28" s="6" t="s">
        <v>85</v>
      </c>
      <c r="C28" s="6" t="s">
        <v>70</v>
      </c>
      <c r="D28" s="6" t="s">
        <v>144</v>
      </c>
      <c r="E28" s="6"/>
      <c r="F28" s="10" t="n">
        <v>45726</v>
      </c>
      <c r="G28" s="11" t="n">
        <v>474</v>
      </c>
      <c r="H28" s="11" t="n">
        <f aca="false">IFERROR(xlookup(B28,liveprices!$a:$a,liveprices!$d:$d),530)</f>
        <v>530</v>
      </c>
      <c r="I28" s="14" t="n">
        <v>0.122</v>
      </c>
      <c r="J28" s="14" t="n">
        <f aca="false">IF(G28=0,"",(H28-G28)/G28)</f>
        <v>0.118143459915612</v>
      </c>
      <c r="K28" s="9" t="s">
        <v>118</v>
      </c>
      <c r="L28" s="22" t="s">
        <v>44</v>
      </c>
      <c r="M28" s="6"/>
      <c r="N28" s="6"/>
      <c r="O28" s="6"/>
    </row>
    <row r="29" customFormat="false" ht="15" hidden="false" customHeight="false" outlineLevel="0" collapsed="false">
      <c r="A29" s="29" t="s">
        <v>5</v>
      </c>
      <c r="B29" s="16" t="s">
        <v>86</v>
      </c>
      <c r="C29" s="16" t="s">
        <v>72</v>
      </c>
      <c r="D29" s="16" t="s">
        <v>145</v>
      </c>
      <c r="E29" s="16"/>
      <c r="F29" s="17" t="n">
        <v>45726</v>
      </c>
      <c r="G29" s="18" t="n">
        <v>343</v>
      </c>
      <c r="H29" s="18" t="n">
        <f aca="false">IFERROR(xlookup(B29,liveprices!$a:$a,liveprices!$d:$d),547)</f>
        <v>547</v>
      </c>
      <c r="I29" s="21" t="n">
        <v>0.59</v>
      </c>
      <c r="J29" s="21" t="n">
        <f aca="false">IF(G29=0,"",(H29-G29)/G29)</f>
        <v>0.594752186588921</v>
      </c>
      <c r="K29" s="15" t="s">
        <v>116</v>
      </c>
      <c r="L29" s="23" t="s">
        <v>44</v>
      </c>
      <c r="M29" s="16"/>
      <c r="N29" s="16"/>
      <c r="O29" s="16"/>
    </row>
    <row r="30" customFormat="false" ht="15" hidden="false" customHeight="false" outlineLevel="0" collapsed="false">
      <c r="A30" s="30" t="s">
        <v>6</v>
      </c>
      <c r="B30" s="6" t="s">
        <v>89</v>
      </c>
      <c r="C30" s="6" t="s">
        <v>90</v>
      </c>
      <c r="D30" s="6"/>
      <c r="E30" s="6" t="s">
        <v>146</v>
      </c>
      <c r="F30" s="10" t="n">
        <v>46120</v>
      </c>
      <c r="G30" s="11" t="n">
        <v>74.5</v>
      </c>
      <c r="H30" s="11" t="n">
        <f aca="false">IFERROR(xlookup(B30,liveprices!$a:$a,liveprices!$d:$d),86)</f>
        <v>86</v>
      </c>
      <c r="I30" s="14" t="n">
        <v>0.154</v>
      </c>
      <c r="J30" s="14" t="n">
        <f aca="false">IF(G30=0,"",(H30-G30)/G30)</f>
        <v>0.154362416107383</v>
      </c>
      <c r="K30" s="9" t="s">
        <v>147</v>
      </c>
      <c r="L30" s="22" t="s">
        <v>44</v>
      </c>
      <c r="M30" s="6"/>
      <c r="N30" s="6"/>
      <c r="O30" s="6"/>
    </row>
    <row r="31" customFormat="false" ht="15" hidden="false" customHeight="false" outlineLevel="0" collapsed="false">
      <c r="A31" s="31" t="s">
        <v>6</v>
      </c>
      <c r="B31" s="16" t="s">
        <v>91</v>
      </c>
      <c r="C31" s="16" t="s">
        <v>43</v>
      </c>
      <c r="D31" s="16"/>
      <c r="E31" s="16" t="s">
        <v>148</v>
      </c>
      <c r="F31" s="17" t="n">
        <v>46043</v>
      </c>
      <c r="G31" s="18" t="n">
        <v>968</v>
      </c>
      <c r="H31" s="18" t="n">
        <f aca="false">IFERROR(xlookup(B31,liveprices!$a:$a,liveprices!$d:$d),863)</f>
        <v>863</v>
      </c>
      <c r="I31" s="21" t="n">
        <v>-0.108</v>
      </c>
      <c r="J31" s="21" t="n">
        <f aca="false">IF(G31=0,"",(H31-G31)/G31)</f>
        <v>-0.108471074380165</v>
      </c>
      <c r="K31" s="15" t="s">
        <v>149</v>
      </c>
      <c r="L31" s="23" t="s">
        <v>44</v>
      </c>
      <c r="M31" s="16"/>
      <c r="N31" s="16"/>
      <c r="O31" s="16"/>
    </row>
    <row r="32" customFormat="false" ht="15" hidden="false" customHeight="false" outlineLevel="0" collapsed="false">
      <c r="A32" s="30" t="s">
        <v>6</v>
      </c>
      <c r="B32" s="6" t="s">
        <v>92</v>
      </c>
      <c r="C32" s="6" t="s">
        <v>93</v>
      </c>
      <c r="D32" s="6"/>
      <c r="E32" s="6"/>
      <c r="F32" s="10" t="n">
        <v>46038</v>
      </c>
      <c r="G32" s="11" t="n">
        <v>162</v>
      </c>
      <c r="H32" s="11" t="n">
        <f aca="false">IFERROR(xlookup(B32,liveprices!$a:$a,liveprices!$d:$d),156)</f>
        <v>156</v>
      </c>
      <c r="I32" s="14" t="n">
        <v>-0.037</v>
      </c>
      <c r="J32" s="14" t="n">
        <f aca="false">IF(G32=0,"",(H32-G32)/G32)</f>
        <v>-0.037037037037037</v>
      </c>
      <c r="K32" s="9" t="s">
        <v>147</v>
      </c>
      <c r="L32" s="22" t="s">
        <v>44</v>
      </c>
      <c r="M32" s="6"/>
      <c r="N32" s="6"/>
      <c r="O32" s="6"/>
    </row>
    <row r="33" customFormat="false" ht="15" hidden="false" customHeight="false" outlineLevel="0" collapsed="false">
      <c r="A33" s="31" t="s">
        <v>6</v>
      </c>
      <c r="B33" s="16" t="s">
        <v>94</v>
      </c>
      <c r="C33" s="16" t="s">
        <v>46</v>
      </c>
      <c r="D33" s="16" t="s">
        <v>150</v>
      </c>
      <c r="E33" s="16"/>
      <c r="F33" s="17" t="n">
        <v>46034</v>
      </c>
      <c r="G33" s="18" t="n">
        <v>295</v>
      </c>
      <c r="H33" s="18" t="n">
        <f aca="false">IFERROR(xlookup(B33,liveprices!$a:$a,liveprices!$d:$d),329)</f>
        <v>329</v>
      </c>
      <c r="I33" s="21" t="n">
        <v>0.115</v>
      </c>
      <c r="J33" s="21" t="n">
        <f aca="false">IF(G33=0,"",(H33-G33)/G33)</f>
        <v>0.115254237288136</v>
      </c>
      <c r="K33" s="15" t="s">
        <v>149</v>
      </c>
      <c r="L33" s="23" t="s">
        <v>44</v>
      </c>
      <c r="M33" s="16"/>
      <c r="N33" s="16"/>
      <c r="O33" s="16"/>
    </row>
    <row r="34" customFormat="false" ht="15" hidden="false" customHeight="false" outlineLevel="0" collapsed="false">
      <c r="A34" s="30" t="s">
        <v>6</v>
      </c>
      <c r="B34" s="6" t="s">
        <v>95</v>
      </c>
      <c r="C34" s="6" t="s">
        <v>96</v>
      </c>
      <c r="D34" s="6" t="s">
        <v>151</v>
      </c>
      <c r="E34" s="6"/>
      <c r="F34" s="10" t="n">
        <v>46003</v>
      </c>
      <c r="G34" s="11" t="n">
        <v>160</v>
      </c>
      <c r="H34" s="11" t="n">
        <f aca="false">IFERROR(xlookup(B34,liveprices!$a:$a,liveprices!$d:$d),207)</f>
        <v>207</v>
      </c>
      <c r="I34" s="14" t="n">
        <v>0.293</v>
      </c>
      <c r="J34" s="14" t="n">
        <f aca="false">IF(G34=0,"",(H34-G34)/G34)</f>
        <v>0.29375</v>
      </c>
      <c r="K34" s="9" t="s">
        <v>147</v>
      </c>
      <c r="L34" s="22" t="s">
        <v>44</v>
      </c>
      <c r="M34" s="6"/>
      <c r="N34" s="6"/>
      <c r="O34" s="6"/>
    </row>
    <row r="35" customFormat="false" ht="15" hidden="false" customHeight="false" outlineLevel="0" collapsed="false">
      <c r="A35" s="31" t="s">
        <v>6</v>
      </c>
      <c r="B35" s="16" t="s">
        <v>97</v>
      </c>
      <c r="C35" s="16" t="s">
        <v>98</v>
      </c>
      <c r="D35" s="16" t="s">
        <v>152</v>
      </c>
      <c r="E35" s="16"/>
      <c r="F35" s="17" t="n">
        <v>45999</v>
      </c>
      <c r="G35" s="18" t="n">
        <v>515</v>
      </c>
      <c r="H35" s="18" t="n">
        <f aca="false">IFERROR(xlookup(B35,liveprices!$a:$a,liveprices!$d:$d),601)</f>
        <v>601</v>
      </c>
      <c r="I35" s="21" t="n">
        <v>0.167</v>
      </c>
      <c r="J35" s="21" t="n">
        <f aca="false">IF(G35=0,"",(H35-G35)/G35)</f>
        <v>0.166990291262136</v>
      </c>
      <c r="K35" s="15" t="s">
        <v>147</v>
      </c>
      <c r="L35" s="23" t="s">
        <v>44</v>
      </c>
      <c r="M35" s="16"/>
      <c r="N35" s="16"/>
      <c r="O35" s="16"/>
    </row>
    <row r="36" customFormat="false" ht="15" hidden="false" customHeight="false" outlineLevel="0" collapsed="false">
      <c r="A36" s="30" t="s">
        <v>6</v>
      </c>
      <c r="B36" s="6" t="s">
        <v>99</v>
      </c>
      <c r="C36" s="6" t="s">
        <v>74</v>
      </c>
      <c r="D36" s="6"/>
      <c r="E36" s="6" t="s">
        <v>153</v>
      </c>
      <c r="F36" s="10" t="n">
        <v>45950</v>
      </c>
      <c r="G36" s="11" t="n">
        <v>395.8</v>
      </c>
      <c r="H36" s="11" t="n">
        <f aca="false">IFERROR(xlookup(B36,liveprices!$a:$a,liveprices!$d:$d),430)</f>
        <v>430</v>
      </c>
      <c r="I36" s="14" t="n">
        <v>0.088</v>
      </c>
      <c r="J36" s="14" t="n">
        <f aca="false">IF(G36=0,"",(H36-G36)/G36)</f>
        <v>0.0864072764022233</v>
      </c>
      <c r="K36" s="9" t="s">
        <v>147</v>
      </c>
      <c r="L36" s="22" t="s">
        <v>44</v>
      </c>
      <c r="M36" s="6"/>
      <c r="N36" s="6"/>
      <c r="O36" s="6"/>
    </row>
    <row r="37" customFormat="false" ht="15" hidden="false" customHeight="false" outlineLevel="0" collapsed="false">
      <c r="A37" s="31" t="s">
        <v>6</v>
      </c>
      <c r="B37" s="16" t="s">
        <v>100</v>
      </c>
      <c r="C37" s="16" t="s">
        <v>101</v>
      </c>
      <c r="D37" s="16"/>
      <c r="E37" s="16" t="s">
        <v>154</v>
      </c>
      <c r="F37" s="17" t="n">
        <v>45944</v>
      </c>
      <c r="G37" s="18" t="n">
        <v>617</v>
      </c>
      <c r="H37" s="18" t="n">
        <f aca="false">IFERROR(xlookup(B37,liveprices!$a:$a,liveprices!$d:$d),770)</f>
        <v>770</v>
      </c>
      <c r="I37" s="21" t="n">
        <v>0.248</v>
      </c>
      <c r="J37" s="21" t="n">
        <f aca="false">IF(G37=0,"",(H37-G37)/G37)</f>
        <v>0.247974068071313</v>
      </c>
      <c r="K37" s="15" t="s">
        <v>147</v>
      </c>
      <c r="L37" s="23" t="s">
        <v>44</v>
      </c>
      <c r="M37" s="16"/>
      <c r="N37" s="16"/>
      <c r="O37" s="16"/>
    </row>
    <row r="38" customFormat="false" ht="15" hidden="false" customHeight="false" outlineLevel="0" collapsed="false">
      <c r="A38" s="30" t="s">
        <v>6</v>
      </c>
      <c r="B38" s="6" t="s">
        <v>102</v>
      </c>
      <c r="C38" s="6" t="s">
        <v>68</v>
      </c>
      <c r="D38" s="6" t="s">
        <v>155</v>
      </c>
      <c r="E38" s="6"/>
      <c r="F38" s="10" t="n">
        <v>45943</v>
      </c>
      <c r="G38" s="11" t="n">
        <v>465</v>
      </c>
      <c r="H38" s="11" t="n">
        <f aca="false">IFERROR(xlookup(B38,liveprices!$a:$a,liveprices!$d:$d),409)</f>
        <v>409</v>
      </c>
      <c r="I38" s="14" t="n">
        <v>-0.12</v>
      </c>
      <c r="J38" s="14" t="n">
        <f aca="false">IF(G38=0,"",(H38-G38)/G38)</f>
        <v>-0.120430107526882</v>
      </c>
      <c r="K38" s="9" t="s">
        <v>147</v>
      </c>
      <c r="L38" s="22" t="s">
        <v>44</v>
      </c>
      <c r="M38" s="6"/>
      <c r="N38" s="6"/>
      <c r="O38" s="6"/>
    </row>
    <row r="39" customFormat="false" ht="15" hidden="false" customHeight="false" outlineLevel="0" collapsed="false">
      <c r="A39" s="31" t="s">
        <v>6</v>
      </c>
      <c r="B39" s="16" t="s">
        <v>103</v>
      </c>
      <c r="C39" s="16" t="s">
        <v>70</v>
      </c>
      <c r="D39" s="16" t="s">
        <v>156</v>
      </c>
      <c r="E39" s="16"/>
      <c r="F39" s="17" t="n">
        <v>45943</v>
      </c>
      <c r="G39" s="18" t="n">
        <v>87</v>
      </c>
      <c r="H39" s="18" t="n">
        <f aca="false">IFERROR(xlookup(B39,liveprices!$a:$a,liveprices!$d:$d),57)</f>
        <v>57</v>
      </c>
      <c r="I39" s="21" t="n">
        <v>-0.344</v>
      </c>
      <c r="J39" s="21" t="n">
        <f aca="false">IF(G39=0,"",(H39-G39)/G39)</f>
        <v>-0.344827586206897</v>
      </c>
      <c r="K39" s="15" t="s">
        <v>147</v>
      </c>
      <c r="L39" s="23" t="s">
        <v>44</v>
      </c>
      <c r="M39" s="16"/>
      <c r="N39" s="16"/>
      <c r="O39" s="16"/>
    </row>
    <row r="40" customFormat="false" ht="15" hidden="false" customHeight="false" outlineLevel="0" collapsed="false">
      <c r="A40" s="30" t="s">
        <v>6</v>
      </c>
      <c r="B40" s="6" t="s">
        <v>104</v>
      </c>
      <c r="C40" s="6" t="s">
        <v>37</v>
      </c>
      <c r="D40" s="6" t="s">
        <v>157</v>
      </c>
      <c r="E40" s="6"/>
      <c r="F40" s="10" t="n">
        <v>45908</v>
      </c>
      <c r="G40" s="11" t="n">
        <v>897</v>
      </c>
      <c r="H40" s="11" t="n">
        <f aca="false">IFERROR(xlookup(B40,liveprices!$a:$a,liveprices!$d:$d),866)</f>
        <v>866</v>
      </c>
      <c r="I40" s="14" t="n">
        <v>-0.034</v>
      </c>
      <c r="J40" s="14" t="n">
        <f aca="false">IF(G40=0,"",(H40-G40)/G40)</f>
        <v>-0.0345596432552954</v>
      </c>
      <c r="K40" s="9" t="s">
        <v>149</v>
      </c>
      <c r="L40" s="22" t="s">
        <v>44</v>
      </c>
      <c r="M40" s="6"/>
      <c r="N40" s="6"/>
      <c r="O40" s="6"/>
    </row>
    <row r="41" customFormat="false" ht="15" hidden="false" customHeight="false" outlineLevel="0" collapsed="false">
      <c r="A41" s="31" t="s">
        <v>6</v>
      </c>
      <c r="B41" s="16" t="s">
        <v>105</v>
      </c>
      <c r="C41" s="16" t="s">
        <v>106</v>
      </c>
      <c r="D41" s="16" t="s">
        <v>158</v>
      </c>
      <c r="E41" s="16"/>
      <c r="F41" s="17" t="n">
        <v>45895</v>
      </c>
      <c r="G41" s="18" t="n">
        <v>170</v>
      </c>
      <c r="H41" s="18" t="n">
        <f aca="false">IFERROR(xlookup(B41,liveprices!$a:$a,liveprices!$d:$d),106)</f>
        <v>106</v>
      </c>
      <c r="I41" s="21" t="n">
        <v>-0.376</v>
      </c>
      <c r="J41" s="21" t="n">
        <f aca="false">IF(G41=0,"",(H41-G41)/G41)</f>
        <v>-0.376470588235294</v>
      </c>
      <c r="K41" s="15" t="s">
        <v>147</v>
      </c>
      <c r="L41" s="23" t="s">
        <v>44</v>
      </c>
      <c r="M41" s="16"/>
      <c r="N41" s="16"/>
      <c r="O41" s="16"/>
    </row>
    <row r="42" customFormat="false" ht="15" hidden="false" customHeight="false" outlineLevel="0" collapsed="false">
      <c r="A42" s="30" t="s">
        <v>6</v>
      </c>
      <c r="B42" s="6" t="s">
        <v>107</v>
      </c>
      <c r="C42" s="6" t="s">
        <v>106</v>
      </c>
      <c r="D42" s="6" t="s">
        <v>159</v>
      </c>
      <c r="E42" s="6"/>
      <c r="F42" s="10" t="n">
        <v>45895</v>
      </c>
      <c r="G42" s="11" t="n">
        <v>440</v>
      </c>
      <c r="H42" s="11" t="n">
        <f aca="false">IFERROR(xlookup(B42,liveprices!$a:$a,liveprices!$d:$d),245)</f>
        <v>245</v>
      </c>
      <c r="I42" s="14" t="n">
        <v>-0.443</v>
      </c>
      <c r="J42" s="14" t="n">
        <f aca="false">IF(G42=0,"",(H42-G42)/G42)</f>
        <v>-0.443181818181818</v>
      </c>
      <c r="K42" s="9" t="s">
        <v>149</v>
      </c>
      <c r="L42" s="22" t="s">
        <v>44</v>
      </c>
      <c r="M42" s="6"/>
      <c r="N42" s="6"/>
      <c r="O42" s="6"/>
    </row>
  </sheetData>
  <autoFilter ref="A1:O42"/>
  <conditionalFormatting sqref="I2:I42">
    <cfRule type="cellIs" priority="2" operator="greaterThan" aboveAverage="0" equalAverage="0" bottom="0" percent="0" rank="0" text="" dxfId="6">
      <formula>0</formula>
    </cfRule>
    <cfRule type="cellIs" priority="3" operator="lessThan" aboveAverage="0" equalAverage="0" bottom="0" percent="0" rank="0" text="" dxfId="7">
      <formula>0</formula>
    </cfRule>
  </conditionalFormatting>
  <conditionalFormatting sqref="J2:J42">
    <cfRule type="cellIs" priority="4" operator="greaterThan" aboveAverage="0" equalAverage="0" bottom="0" percent="0" rank="0" text="" dxfId="6">
      <formula>0</formula>
    </cfRule>
    <cfRule type="cellIs" priority="5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2026-06-02T15:09:11Z</dcterms:created>
  <dc:creator>openpyxl</dc:creator>
  <dc:description/>
  <dc:language>en-US</dc:language>
  <cp:lastModifiedBy/>
  <dcterms:modified xsi:type="dcterms:W3CDTF">2026-06-02T15:09:11Z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